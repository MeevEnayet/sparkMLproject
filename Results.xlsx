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hammad.enayet/Documents/Personal/Research/sparkMLproject/"/>
    </mc:Choice>
  </mc:AlternateContent>
  <xr:revisionPtr revIDLastSave="0" documentId="8_{B51E4617-3ECD-814A-B494-E6F567FE6EE6}" xr6:coauthVersionLast="47" xr6:coauthVersionMax="47" xr10:uidLastSave="{00000000-0000-0000-0000-000000000000}"/>
  <bookViews>
    <workbookView xWindow="3000" yWindow="2320" windowWidth="28040" windowHeight="17440" activeTab="3" xr2:uid="{AB01823A-6955-164F-A45C-FEADAD2D6CE3}"/>
  </bookViews>
  <sheets>
    <sheet name="Bootstrapping All" sheetId="1" r:id="rId1"/>
    <sheet name="Sheet4" sheetId="4" r:id="rId2"/>
    <sheet name="Bootstrapping Condensed" sheetId="2" r:id="rId3"/>
    <sheet name="Sheet3" sheetId="3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7" i="1" l="1"/>
  <c r="G67" i="1"/>
  <c r="F67" i="1"/>
  <c r="E67" i="1"/>
  <c r="H64" i="1"/>
  <c r="G64" i="1"/>
  <c r="F64" i="1"/>
  <c r="E64" i="1"/>
  <c r="H47" i="1"/>
  <c r="G47" i="1"/>
  <c r="F47" i="1"/>
  <c r="E47" i="1"/>
  <c r="H38" i="1"/>
  <c r="G38" i="1"/>
  <c r="F38" i="1"/>
  <c r="E38" i="1"/>
  <c r="H32" i="1"/>
  <c r="G32" i="1"/>
  <c r="F32" i="1"/>
  <c r="E32" i="1"/>
  <c r="H29" i="1"/>
  <c r="G29" i="1"/>
  <c r="F29" i="1"/>
  <c r="E29" i="1"/>
  <c r="H12" i="1"/>
  <c r="G12" i="1"/>
  <c r="F12" i="1"/>
  <c r="E12" i="1"/>
  <c r="H4" i="1"/>
  <c r="G4" i="1"/>
  <c r="F4" i="1"/>
  <c r="E4" i="1"/>
  <c r="D67" i="1"/>
  <c r="D64" i="1"/>
  <c r="D47" i="1"/>
  <c r="D38" i="1"/>
  <c r="D32" i="1"/>
  <c r="D29" i="1"/>
  <c r="D12" i="1"/>
  <c r="D2" i="1"/>
  <c r="D3" i="1"/>
  <c r="D4" i="1"/>
  <c r="D5" i="1"/>
  <c r="D6" i="1"/>
  <c r="D7" i="1"/>
  <c r="D8" i="1"/>
  <c r="D9" i="1"/>
  <c r="D10" i="1"/>
  <c r="D11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30" i="1"/>
  <c r="D31" i="1"/>
  <c r="D33" i="1"/>
  <c r="D34" i="1"/>
  <c r="D35" i="1"/>
  <c r="D36" i="1"/>
  <c r="D37" i="1"/>
  <c r="D39" i="1"/>
  <c r="D40" i="1"/>
  <c r="D41" i="1"/>
  <c r="D42" i="1"/>
  <c r="D43" i="1"/>
  <c r="D44" i="1"/>
  <c r="D45" i="1"/>
  <c r="D46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5" i="1"/>
  <c r="D66" i="1"/>
  <c r="D68" i="1"/>
  <c r="D69" i="1"/>
  <c r="D70" i="1"/>
  <c r="D71" i="1"/>
</calcChain>
</file>

<file path=xl/sharedStrings.xml><?xml version="1.0" encoding="utf-8"?>
<sst xmlns="http://schemas.openxmlformats.org/spreadsheetml/2006/main" count="1050" uniqueCount="318">
  <si>
    <t>Classifier</t>
  </si>
  <si>
    <t>Optimal Slice Threshold (Youden's J)</t>
  </si>
  <si>
    <t>Optimal Patient Threshold (Youden's J)</t>
  </si>
  <si>
    <t>Accuracy (95% CI)</t>
  </si>
  <si>
    <t>Precision (95% CI)</t>
  </si>
  <si>
    <t>Recall (95% CI)</t>
  </si>
  <si>
    <t>F1 Score (95% CI)</t>
  </si>
  <si>
    <t>ROC AUC (95% CI)</t>
  </si>
  <si>
    <t>Logistic Regression</t>
  </si>
  <si>
    <t>0.7729 (0.7021 - 0.8462)</t>
  </si>
  <si>
    <t>0.0000 (0.0000 - 0.0000)</t>
  </si>
  <si>
    <t>0.5000 (0.5000 - 0.5000)</t>
  </si>
  <si>
    <t>Random Forest</t>
  </si>
  <si>
    <t>0.7711 (0.7045 - 0.8400)</t>
  </si>
  <si>
    <t>0.4978 (0.0000 - 1.0000)</t>
  </si>
  <si>
    <t>0.1659 (0.0000 - 0.3000)</t>
  </si>
  <si>
    <t>0.2437 (0.0000 - 0.4000)</t>
  </si>
  <si>
    <t>0.9095 (0.8583 - 0.9607)</t>
  </si>
  <si>
    <t>XGBoost</t>
  </si>
  <si>
    <t>0.9233 (0.8800 - 0.9630)</t>
  </si>
  <si>
    <t>0.8010 (0.6667 - 0.9286)</t>
  </si>
  <si>
    <t>0.8867 (0.7778 - 1.0000)</t>
  </si>
  <si>
    <t>0.8395 (0.7368 - 0.9286)</t>
  </si>
  <si>
    <t>0.9463 (0.9091 - 0.9833)</t>
  </si>
  <si>
    <t>LightGBM</t>
  </si>
  <si>
    <t>0.7586 (0.6863 - 0.8299)</t>
  </si>
  <si>
    <t>0.9664 (0.9407 - 0.9981)</t>
  </si>
  <si>
    <t>SVM</t>
  </si>
  <si>
    <t>0.7721 (0.7083 - 0.8400)</t>
  </si>
  <si>
    <t>Dataset</t>
  </si>
  <si>
    <t>Thresholding</t>
  </si>
  <si>
    <t>Combined</t>
  </si>
  <si>
    <t>Yes</t>
  </si>
  <si>
    <t>0.6711 (0.5918 - 0.7501)</t>
  </si>
  <si>
    <t>0.3468 (0.2000 - 0.5000)</t>
  </si>
  <si>
    <t>0.4983 (0.3000 - 0.7000)</t>
  </si>
  <si>
    <t>0.4056 (0.2400 - 0.5335)</t>
  </si>
  <si>
    <t>0.6104 (0.5000 - 0.7173)</t>
  </si>
  <si>
    <t>0.6466 (0.5686 - 0.7347)</t>
  </si>
  <si>
    <t>0.3630 (0.2381 - 0.4800)</t>
  </si>
  <si>
    <t>0.7225 (0.5556 - 0.9000)</t>
  </si>
  <si>
    <t>0.4804 (0.3448 - 0.6001)</t>
  </si>
  <si>
    <t>0.6733 (0.5865 - 0.7778)</t>
  </si>
  <si>
    <t>0.6577 (0.5800 - 0.7400)</t>
  </si>
  <si>
    <t>0.3716 (0.2498 - 0.5000)</t>
  </si>
  <si>
    <t>0.7209 (0.5556 - 0.8892)</t>
  </si>
  <si>
    <t>0.4874 (0.3448 - 0.6062)</t>
  </si>
  <si>
    <t>0.6800 (0.5863 - 0.7835)</t>
  </si>
  <si>
    <t>0.6315 (0.5531 - 0.7143)</t>
  </si>
  <si>
    <t>0.3494 (0.2273 - 0.4618)</t>
  </si>
  <si>
    <t>0.7242 (0.5556 - 0.9000)</t>
  </si>
  <si>
    <t>0.4686 (0.3333 - 0.5882)</t>
  </si>
  <si>
    <t>0.6643 (0.5673 - 0.7611)</t>
  </si>
  <si>
    <t>0.6715 (0.5957 - 0.7451)</t>
  </si>
  <si>
    <t>0.3353 (0.1875 - 0.5000)</t>
  </si>
  <si>
    <t>0.4418 (0.2500 - 0.6364)</t>
  </si>
  <si>
    <t>0.3778 (0.2222 - 0.5161)</t>
  </si>
  <si>
    <t>0.5908 (0.4836 - 0.6991)</t>
  </si>
  <si>
    <t>Clinical</t>
  </si>
  <si>
    <t>0.9237 (0.8800 - 0.9630)</t>
  </si>
  <si>
    <t>0.7491 (0.6154 - 0.8824)</t>
  </si>
  <si>
    <t>1.0000 (1.0000 - 1.0000)</t>
  </si>
  <si>
    <t>0.8547 (0.7619 - 0.9375)</t>
  </si>
  <si>
    <t>0.9230 (0.8764 - 0.9754)</t>
  </si>
  <si>
    <t>0.8476 (0.7917 - 0.9091)</t>
  </si>
  <si>
    <t>0.5975 (0.4706 - 0.7334)</t>
  </si>
  <si>
    <t>0.7458 (0.6400 - 0.8462)</t>
  </si>
  <si>
    <t>0.8211 (0.7499 - 0.8919)</t>
  </si>
  <si>
    <t>0.8854 (0.8333 - 0.9400)</t>
  </si>
  <si>
    <t>0.6643 (0.5294 - 0.8000)</t>
  </si>
  <si>
    <t>0.7961 (0.6923 - 0.8889)</t>
  </si>
  <si>
    <t>0.8674 (0.8067 - 0.9323)</t>
  </si>
  <si>
    <t>0.7850 (0.7143 - 0.8542)</t>
  </si>
  <si>
    <t>0.5252 (0.3333 - 0.7273)</t>
  </si>
  <si>
    <t>0.5562 (0.3636 - 0.7500)</t>
  </si>
  <si>
    <t>0.5355 (0.3747 - 0.6667)</t>
  </si>
  <si>
    <t>0.8841 (0.8281 - 0.9514)</t>
  </si>
  <si>
    <t>0.8600 (0.8077 - 0.9200)</t>
  </si>
  <si>
    <t>0.6306 (0.5000 - 0.7778)</t>
  </si>
  <si>
    <t>0.9419 (0.8750 - 1.0000)</t>
  </si>
  <si>
    <t>0.7530 (0.6400 - 0.8571)</t>
  </si>
  <si>
    <t>0.8494 (0.7879 - 0.9208)</t>
  </si>
  <si>
    <t>Image</t>
  </si>
  <si>
    <t>0.2281 (0.1538 - 0.3000)</t>
  </si>
  <si>
    <t>0.3700 (0.2666 - 0.4615)</t>
  </si>
  <si>
    <t>0.2275 (0.1538 - 0.3000)</t>
  </si>
  <si>
    <t>0.3691 (0.2667 - 0.4616)</t>
  </si>
  <si>
    <t>0.6958 (0.6154 - 0.7709)</t>
  </si>
  <si>
    <t>0.3105 (0.1111 - 0.5000)</t>
  </si>
  <si>
    <t>0.2772 (0.1000 - 0.4444)</t>
  </si>
  <si>
    <t>0.2888 (0.1053 - 0.4348)</t>
  </si>
  <si>
    <t>0.5480 (0.4526 - 0.6347)</t>
  </si>
  <si>
    <t>0.4812 (0.3962 - 0.5625)</t>
  </si>
  <si>
    <t>0.2562 (0.1665 - 0.3448)</t>
  </si>
  <si>
    <t>0.6654 (0.5000 - 0.8333)</t>
  </si>
  <si>
    <t>0.3677 (0.2498 - 0.4652)</t>
  </si>
  <si>
    <t>0.5462 (0.4438 - 0.6466)</t>
  </si>
  <si>
    <t>0.2271 (0.1569 - 0.2942)</t>
  </si>
  <si>
    <t>0.3687 (0.2712 - 0.4546)</t>
  </si>
  <si>
    <t>RadiomicsOnly</t>
  </si>
  <si>
    <t>0.2654 (0.1875 - 0.3400)</t>
  </si>
  <si>
    <t>0.2141 (0.1395 - 0.2895)</t>
  </si>
  <si>
    <t>0.8315 (0.7000 - 1.0000)</t>
  </si>
  <si>
    <t>0.3391 (0.2353 - 0.4314)</t>
  </si>
  <si>
    <t>0.4649 (0.3880 - 0.5513)</t>
  </si>
  <si>
    <t>0.2294 (0.1522 - 0.3019)</t>
  </si>
  <si>
    <t>0.3718 (0.2642 - 0.4638)</t>
  </si>
  <si>
    <t>0.6981 (0.6226 - 0.7727)</t>
  </si>
  <si>
    <t>0.3133 (0.1111 - 0.5000)</t>
  </si>
  <si>
    <t>0.2783 (0.0909 - 0.4444)</t>
  </si>
  <si>
    <t>0.2907 (0.1053 - 0.4348)</t>
  </si>
  <si>
    <t>0.5498 (0.4444 - 0.6389)</t>
  </si>
  <si>
    <t>0.2280 (0.1599 - 0.2979)</t>
  </si>
  <si>
    <t>0.3699 (0.2757 - 0.4591)</t>
  </si>
  <si>
    <t>0.2799 (0.2041 - 0.3556)</t>
  </si>
  <si>
    <t>0.2191 (0.1429 - 0.2955)</t>
  </si>
  <si>
    <t>0.8337 (0.7000 - 1.0000)</t>
  </si>
  <si>
    <t>0.3455 (0.2400 - 0.4407)</t>
  </si>
  <si>
    <t>0.4744 (0.3977 - 0.5526)</t>
  </si>
  <si>
    <t>ClinicalRadiomics</t>
  </si>
  <si>
    <t>0.7740 (0.7000 - 0.8491)</t>
  </si>
  <si>
    <t>0.7357 (0.6600 - 0.8085)</t>
  </si>
  <si>
    <t>0.9349 (0.8919 - 0.9756)</t>
  </si>
  <si>
    <t>0.6959 (0.6170 - 0.7709)</t>
  </si>
  <si>
    <t>0.2837 (0.1111 - 0.4458)</t>
  </si>
  <si>
    <t>0.2228 (0.0833 - 0.3636)</t>
  </si>
  <si>
    <t>0.2461 (0.1000 - 0.3810)</t>
  </si>
  <si>
    <t>0.8311 (0.7621 - 0.9000)</t>
  </si>
  <si>
    <t>0.6194 (0.5383 - 0.7059)</t>
  </si>
  <si>
    <t>0.2877 (0.1429 - 0.4286)</t>
  </si>
  <si>
    <t>0.4448 (0.2500 - 0.6364)</t>
  </si>
  <si>
    <t>0.3461 (0.1818 - 0.4708)</t>
  </si>
  <si>
    <t>0.7263 (0.6452 - 0.8122)</t>
  </si>
  <si>
    <t>0.2285 (0.1600 - 0.3000)</t>
  </si>
  <si>
    <t>0.3706 (0.2759 - 0.4615)</t>
  </si>
  <si>
    <t>CombinedRadiomics</t>
  </si>
  <si>
    <t>0.8982 (0.8511 - 0.9545)</t>
  </si>
  <si>
    <t>0.7075 (0.5625 - 0.8667)</t>
  </si>
  <si>
    <t>0.9439 (0.8750 - 1.0000)</t>
  </si>
  <si>
    <t>0.8063 (0.6957 - 0.9034)</t>
  </si>
  <si>
    <t>0.9294 (0.8865 - 0.9786)</t>
  </si>
  <si>
    <t>0.8862 (0.8333 - 0.9412)</t>
  </si>
  <si>
    <t>0.6681 (0.5294 - 0.8126)</t>
  </si>
  <si>
    <t>0.7987 (0.6923 - 0.8966)</t>
  </si>
  <si>
    <t>0.8760 (0.8157 - 0.9394)</t>
  </si>
  <si>
    <t>0.8501 (0.7885 - 0.9131)</t>
  </si>
  <si>
    <t>0.6303 (0.4615 - 0.7857)</t>
  </si>
  <si>
    <t>0.8364 (0.7000 - 1.0000)</t>
  </si>
  <si>
    <t>0.7157 (0.5830 - 0.8333)</t>
  </si>
  <si>
    <t>0.8939 (0.8396 - 0.9524)</t>
  </si>
  <si>
    <t>0.8871 (0.8363 - 0.9423)</t>
  </si>
  <si>
    <t>0.6983 (0.5455 - 0.8571)</t>
  </si>
  <si>
    <t>0.8881 (0.7778 - 1.0000)</t>
  </si>
  <si>
    <t>0.7792 (0.6667 - 0.8889)</t>
  </si>
  <si>
    <t>0.9027 (0.8530 - 0.9596)</t>
  </si>
  <si>
    <t>0.8986 (0.8541 - 0.9434)</t>
  </si>
  <si>
    <t>0.7245 (0.5830 - 0.8750)</t>
  </si>
  <si>
    <t>0.8886 (0.7778 - 1.0000)</t>
  </si>
  <si>
    <t>0.7954 (0.6667 - 0.8966)</t>
  </si>
  <si>
    <t>0.9077 (0.8593 - 0.9634)</t>
  </si>
  <si>
    <t>CombinedSelected</t>
  </si>
  <si>
    <t>0.4576 (0.4319 - 0.4833)</t>
  </si>
  <si>
    <t>0.8445 (0.8243 - 0.8637)</t>
  </si>
  <si>
    <t>0.9153 (0.8927 - 0.9365)</t>
  </si>
  <si>
    <t>0.7859 (0.7579 - 0.8141)</t>
  </si>
  <si>
    <t>0.8456 (0.8247 - 0.8653)</t>
  </si>
  <si>
    <t>0.8900 (0.8722 - 0.9077)</t>
  </si>
  <si>
    <t>0.8336 (0.8138 - 0.8526)</t>
  </si>
  <si>
    <t>0.9016 (0.8786 - 0.9235)</t>
  </si>
  <si>
    <t>0.7779 (0.7476 - 0.8063)</t>
  </si>
  <si>
    <t>0.8351 (0.8138 - 0.8563)</t>
  </si>
  <si>
    <t>0.8985 (0.8814 - 0.9157)</t>
  </si>
  <si>
    <t>0.8310 (0.8109 - 0.8511)</t>
  </si>
  <si>
    <t>0.9514 (0.9335 - 0.9685)</t>
  </si>
  <si>
    <t>0.7255 (0.6900 - 0.7581)</t>
  </si>
  <si>
    <t>0.8231 (0.7977 - 0.8448)</t>
  </si>
  <si>
    <t>0.8832 (0.8640 - 0.9023)</t>
  </si>
  <si>
    <t>0.4577 (0.4311 - 0.4832)</t>
  </si>
  <si>
    <t>0.7961 (0.7089 - 0.8861)</t>
  </si>
  <si>
    <t>0.6052 (0.2727 - 0.9167)</t>
  </si>
  <si>
    <t>0.3337 (0.1333 - 0.5882)</t>
  </si>
  <si>
    <t>0.4215 (0.1818 - 0.6471)</t>
  </si>
  <si>
    <t>0.6992 (0.5596 - 0.8255)</t>
  </si>
  <si>
    <t>0.6345 (0.5316 - 0.7342)</t>
  </si>
  <si>
    <t>0.3130 (0.1481 - 0.4848)</t>
  </si>
  <si>
    <t>0.5043 (0.2500 - 0.7500)</t>
  </si>
  <si>
    <t>0.3808 (0.1961 - 0.5490)</t>
  </si>
  <si>
    <t>0.6552 (0.5311 - 0.7766)</t>
  </si>
  <si>
    <t>0.6575 (0.5570 - 0.7722)</t>
  </si>
  <si>
    <t>0.3554 (0.1875 - 0.5278)</t>
  </si>
  <si>
    <t>0.6123 (0.3571 - 0.8235)</t>
  </si>
  <si>
    <t>0.4447 (0.2564 - 0.6047)</t>
  </si>
  <si>
    <t>0.6677 (0.5455 - 0.7874)</t>
  </si>
  <si>
    <t>0.5046 (0.3924 - 0.6203)</t>
  </si>
  <si>
    <t>0.3061 (0.1886 - 0.4286)</t>
  </si>
  <si>
    <t>0.9477 (0.8235 - 1.0000)</t>
  </si>
  <si>
    <t>0.4595 (0.3125 - 0.5926)</t>
  </si>
  <si>
    <t>0.6759 (0.5439 - 0.8000)</t>
  </si>
  <si>
    <t>0.6080 (0.5063 - 0.7089)</t>
  </si>
  <si>
    <t>0.3214 (0.1667 - 0.4737)</t>
  </si>
  <si>
    <t>0.6577 (0.4000 - 0.8667)</t>
  </si>
  <si>
    <t>0.4274 (0.2500 - 0.5807)</t>
  </si>
  <si>
    <t>0.7217 (0.5922 - 0.8348)</t>
  </si>
  <si>
    <t>No</t>
  </si>
  <si>
    <t>0.8046 (0.7848 - 0.8265)</t>
  </si>
  <si>
    <t>0.8340 (0.8069 - 0.8606)</t>
  </si>
  <si>
    <t>0.7987 (0.7692 - 0.8268)</t>
  </si>
  <si>
    <t>0.8159 (0.7946 - 0.8379)</t>
  </si>
  <si>
    <t>0.8778 (0.8601 - 0.8964)</t>
  </si>
  <si>
    <t>0.8100 (0.7885 - 0.8302)</t>
  </si>
  <si>
    <t>0.8677 (0.8416 - 0.8929)</t>
  </si>
  <si>
    <t>0.7658 (0.7358 - 0.7960)</t>
  </si>
  <si>
    <t>0.8134 (0.7920 - 0.8357)</t>
  </si>
  <si>
    <t>0.8707 (0.8503 - 0.8906)</t>
  </si>
  <si>
    <t>0.8116 (0.7908 - 0.8325)</t>
  </si>
  <si>
    <t>0.8708 (0.8454 - 0.8961)</t>
  </si>
  <si>
    <t>0.7665 (0.7381 - 0.7980)</t>
  </si>
  <si>
    <t>0.8152 (0.7936 - 0.8374)</t>
  </si>
  <si>
    <t>0.8763 (0.8568 - 0.8952)</t>
  </si>
  <si>
    <t>0.8112 (0.7900 - 0.8302)</t>
  </si>
  <si>
    <t>0.8713 (0.8458 - 0.8977)</t>
  </si>
  <si>
    <t>0.7641 (0.7317 - 0.7934)</t>
  </si>
  <si>
    <t>0.8140 (0.7914 - 0.8344)</t>
  </si>
  <si>
    <t>0.8718 (0.8515 - 0.8899)</t>
  </si>
  <si>
    <t>0.8281 (0.8071 - 0.8474)</t>
  </si>
  <si>
    <t>0.9100 (0.8869 - 0.9331)</t>
  </si>
  <si>
    <t>0.7577 (0.7278 - 0.7906)</t>
  </si>
  <si>
    <t>0.8268 (0.8046 - 0.8471)</t>
  </si>
  <si>
    <t>0.8692 (0.8494 - 0.8891)</t>
  </si>
  <si>
    <t>0.2297 (0.1392 - 0.3291)</t>
  </si>
  <si>
    <t>0.3711 (0.2444 - 0.4952)</t>
  </si>
  <si>
    <t>0.2146 (0.1392 - 0.3038)</t>
  </si>
  <si>
    <t>0.2174 (0.1392 - 0.3108)</t>
  </si>
  <si>
    <t>0.9439 (0.8125 - 1.0000)</t>
  </si>
  <si>
    <t>0.3511 (0.2444 - 0.4660)</t>
  </si>
  <si>
    <t>0.5405 (0.3680 - 0.7111)</t>
  </si>
  <si>
    <t>0.6954 (0.5949 - 0.7848)</t>
  </si>
  <si>
    <t>0.3078 (0.0769 - 0.5385)</t>
  </si>
  <si>
    <t>0.2739 (0.0667 - 0.4762)</t>
  </si>
  <si>
    <t>0.2840 (0.0714 - 0.4706)</t>
  </si>
  <si>
    <t>0.5464 (0.4324 - 0.6575)</t>
  </si>
  <si>
    <t>0.2267 (0.1392 - 0.3291)</t>
  </si>
  <si>
    <t>0.3670 (0.2444 - 0.4952)</t>
  </si>
  <si>
    <t>0.5734 (0.4243 - 0.7259)</t>
  </si>
  <si>
    <t>0.2265 (0.1392 - 0.3291)</t>
  </si>
  <si>
    <t>0.2651 (0.1646 - 0.3671)</t>
  </si>
  <si>
    <t>0.2135 (0.1194 - 0.3188)</t>
  </si>
  <si>
    <t>0.8304 (0.6316 - 1.0000)</t>
  </si>
  <si>
    <t>0.3370 (0.2025 - 0.4632)</t>
  </si>
  <si>
    <t>0.4603 (0.3520 - 0.5553)</t>
  </si>
  <si>
    <t>0.2292 (0.1392 - 0.3291)</t>
  </si>
  <si>
    <t>0.3704 (0.2444 - 0.4952)</t>
  </si>
  <si>
    <t>0.5476 (0.4099 - 0.6885)</t>
  </si>
  <si>
    <t>0.2275 (0.1392 - 0.3165)</t>
  </si>
  <si>
    <t>0.3683 (0.2444 - 0.4808)</t>
  </si>
  <si>
    <t>0.5505 (0.4355 - 0.6657)</t>
  </si>
  <si>
    <t>0.2283 (0.1392 - 0.3165)</t>
  </si>
  <si>
    <t>0.3695 (0.2444 - 0.4808)</t>
  </si>
  <si>
    <t>0.2799 (0.1772 - 0.3797)</t>
  </si>
  <si>
    <t>0.2182 (0.1285 - 0.3143)</t>
  </si>
  <si>
    <t>0.8384 (0.6316 - 1.0000)</t>
  </si>
  <si>
    <t>0.3436 (0.2195 - 0.4632)</t>
  </si>
  <si>
    <t>0.4771 (0.3748 - 0.5625)</t>
  </si>
  <si>
    <t>0.8419 (0.8217 - 0.8614)</t>
  </si>
  <si>
    <t>0.8745 (0.8485 - 0.8994)</t>
  </si>
  <si>
    <t>0.8253 (0.7980 - 0.8526)</t>
  </si>
  <si>
    <t>0.8491 (0.8283 - 0.8692)</t>
  </si>
  <si>
    <t>0.9331 (0.9201 - 0.9449)</t>
  </si>
  <si>
    <t>0.8199 (0.8007 - 0.8397)</t>
  </si>
  <si>
    <t>0.8737 (0.8475 - 0.8978)</t>
  </si>
  <si>
    <t>0.7783 (0.7490 - 0.8053)</t>
  </si>
  <si>
    <t>0.8231 (0.8018 - 0.8442)</t>
  </si>
  <si>
    <t>0.9023 (0.8855 - 0.9188)</t>
  </si>
  <si>
    <t>0.8335 (0.8135 - 0.8524)</t>
  </si>
  <si>
    <t>0.8883 (0.8638 - 0.9115)</t>
  </si>
  <si>
    <t>0.7910 (0.7595 - 0.8182)</t>
  </si>
  <si>
    <t>0.8367 (0.8143 - 0.8569)</t>
  </si>
  <si>
    <t>0.9154 (0.9005 - 0.9295)</t>
  </si>
  <si>
    <t>0.8283 (0.8075 - 0.8472)</t>
  </si>
  <si>
    <t>0.8924 (0.8685 - 0.9155)</t>
  </si>
  <si>
    <t>0.7754 (0.7449 - 0.8066)</t>
  </si>
  <si>
    <t>0.8297 (0.8075 - 0.8505)</t>
  </si>
  <si>
    <t>0.9162 (0.9015 - 0.9294)</t>
  </si>
  <si>
    <t>0.8238 (0.8060 - 0.8419)</t>
  </si>
  <si>
    <t>0.8875 (0.8642 - 0.9104)</t>
  </si>
  <si>
    <t>0.7710 (0.7413 - 0.8006)</t>
  </si>
  <si>
    <t>0.8251 (0.8049 - 0.8450)</t>
  </si>
  <si>
    <t>0.9113 (0.8972 - 0.9253)</t>
  </si>
  <si>
    <t>0.4574 (0.4311 - 0.4833)</t>
  </si>
  <si>
    <t>0.6850 (0.6605 - 0.7096)</t>
  </si>
  <si>
    <t>0.6596 (0.6295 - 0.6898)</t>
  </si>
  <si>
    <t>0.8666 (0.8410 - 0.8909)</t>
  </si>
  <si>
    <t>0.7490 (0.7258 - 0.7721)</t>
  </si>
  <si>
    <t>0.8348 (0.8119 - 0.8556)</t>
  </si>
  <si>
    <t>0.7688 (0.7468 - 0.7908)</t>
  </si>
  <si>
    <t>0.7571 (0.7278 - 0.7858)</t>
  </si>
  <si>
    <t>0.8438 (0.8160 - 0.8693)</t>
  </si>
  <si>
    <t>0.7980 (0.7763 - 0.8196)</t>
  </si>
  <si>
    <t>0.8727 (0.8537 - 0.8911)</t>
  </si>
  <si>
    <t>0.7231 (0.6992 - 0.7469)</t>
  </si>
  <si>
    <t>0.7020 (0.6706 - 0.7319)</t>
  </si>
  <si>
    <t>0.8507 (0.8248 - 0.8748)</t>
  </si>
  <si>
    <t>0.7691 (0.7452 - 0.7898)</t>
  </si>
  <si>
    <t>0.8579 (0.8373 - 0.8766)</t>
  </si>
  <si>
    <t>0.5414 (0.5160 - 0.5667)</t>
  </si>
  <si>
    <t>0.7024 (0.6807 - 0.7234)</t>
  </si>
  <si>
    <t>Accuracy (95% CI)2</t>
  </si>
  <si>
    <t>Precision (95% CI)3</t>
  </si>
  <si>
    <t>Recall (95% CI)4</t>
  </si>
  <si>
    <t>F1 Score (95% CI)5</t>
  </si>
  <si>
    <t>ROC AUC (95% CI)6</t>
  </si>
  <si>
    <t>Accuracy</t>
  </si>
  <si>
    <t>Precision</t>
  </si>
  <si>
    <t>Recall</t>
  </si>
  <si>
    <t>F1 Score</t>
  </si>
  <si>
    <t>ROC AUC</t>
  </si>
  <si>
    <t>Bootstrapping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</si>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</sst>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9" formatCode="_(* #,##0.000_);_(* \(#,##0.000\);_(* &quot;-&quot;??_);_(@_)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5">
    <xf numFmtId="0" fontId="0" fillId="0" borderId="0" xfId="0"/>
    <xf numFmtId="0" fontId="0" fillId="0" borderId="1" xfId="0" applyBorder="1"/>
    <xf numFmtId="0" fontId="0" fillId="0" borderId="9" xfId="0" applyBorder="1"/>
    <xf numFmtId="0" fontId="3" fillId="0" borderId="12" xfId="0" applyFont="1" applyBorder="1"/>
    <xf numFmtId="0" fontId="3" fillId="0" borderId="2" xfId="0" applyFont="1" applyBorder="1"/>
    <xf numFmtId="0" fontId="3" fillId="0" borderId="11" xfId="0" applyFont="1" applyBorder="1"/>
    <xf numFmtId="0" fontId="0" fillId="0" borderId="6" xfId="0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" xfId="0" applyFill="1" applyBorder="1"/>
    <xf numFmtId="0" fontId="0" fillId="3" borderId="17" xfId="0" applyFill="1" applyBorder="1"/>
    <xf numFmtId="0" fontId="0" fillId="4" borderId="16" xfId="0" applyFill="1" applyBorder="1"/>
    <xf numFmtId="0" fontId="0" fillId="4" borderId="1" xfId="0" applyFill="1" applyBorder="1"/>
    <xf numFmtId="0" fontId="0" fillId="4" borderId="17" xfId="0" applyFill="1" applyBorder="1"/>
    <xf numFmtId="0" fontId="0" fillId="5" borderId="16" xfId="0" applyFill="1" applyBorder="1"/>
    <xf numFmtId="0" fontId="0" fillId="5" borderId="1" xfId="0" applyFill="1" applyBorder="1"/>
    <xf numFmtId="0" fontId="0" fillId="5" borderId="17" xfId="0" applyFill="1" applyBorder="1"/>
    <xf numFmtId="0" fontId="0" fillId="6" borderId="16" xfId="0" applyFill="1" applyBorder="1"/>
    <xf numFmtId="0" fontId="0" fillId="6" borderId="1" xfId="0" applyFill="1" applyBorder="1"/>
    <xf numFmtId="0" fontId="0" fillId="6" borderId="17" xfId="0" applyFill="1" applyBorder="1"/>
    <xf numFmtId="0" fontId="0" fillId="7" borderId="16" xfId="0" applyFill="1" applyBorder="1"/>
    <xf numFmtId="0" fontId="0" fillId="7" borderId="1" xfId="0" applyFill="1" applyBorder="1"/>
    <xf numFmtId="0" fontId="0" fillId="7" borderId="17" xfId="0" applyFill="1" applyBorder="1"/>
    <xf numFmtId="0" fontId="0" fillId="8" borderId="16" xfId="0" applyFill="1" applyBorder="1"/>
    <xf numFmtId="0" fontId="0" fillId="8" borderId="1" xfId="0" applyFill="1" applyBorder="1"/>
    <xf numFmtId="0" fontId="0" fillId="8" borderId="17" xfId="0" applyFill="1" applyBorder="1"/>
    <xf numFmtId="0" fontId="0" fillId="9" borderId="16" xfId="0" applyFill="1" applyBorder="1"/>
    <xf numFmtId="0" fontId="0" fillId="9" borderId="1" xfId="0" applyFill="1" applyBorder="1"/>
    <xf numFmtId="0" fontId="0" fillId="9" borderId="17" xfId="0" applyFill="1" applyBorder="1"/>
    <xf numFmtId="0" fontId="0" fillId="9" borderId="18" xfId="0" applyFill="1" applyBorder="1"/>
    <xf numFmtId="0" fontId="0" fillId="9" borderId="19" xfId="0" applyFill="1" applyBorder="1"/>
    <xf numFmtId="0" fontId="0" fillId="9" borderId="20" xfId="0" applyFill="1" applyBorder="1"/>
    <xf numFmtId="0" fontId="0" fillId="10" borderId="13" xfId="0" applyFill="1" applyBorder="1"/>
    <xf numFmtId="0" fontId="0" fillId="10" borderId="14" xfId="0" applyFill="1" applyBorder="1"/>
    <xf numFmtId="0" fontId="0" fillId="10" borderId="15" xfId="0" applyFill="1" applyBorder="1"/>
    <xf numFmtId="0" fontId="0" fillId="10" borderId="16" xfId="0" applyFill="1" applyBorder="1"/>
    <xf numFmtId="0" fontId="0" fillId="10" borderId="1" xfId="0" applyFill="1" applyBorder="1"/>
    <xf numFmtId="0" fontId="0" fillId="10" borderId="17" xfId="0" applyFill="1" applyBorder="1"/>
    <xf numFmtId="0" fontId="0" fillId="11" borderId="16" xfId="0" applyFill="1" applyBorder="1"/>
    <xf numFmtId="0" fontId="0" fillId="11" borderId="1" xfId="0" applyFill="1" applyBorder="1"/>
    <xf numFmtId="0" fontId="0" fillId="11" borderId="17" xfId="0" applyFill="1" applyBorder="1"/>
    <xf numFmtId="0" fontId="0" fillId="12" borderId="16" xfId="0" applyFill="1" applyBorder="1"/>
    <xf numFmtId="0" fontId="0" fillId="12" borderId="1" xfId="0" applyFill="1" applyBorder="1"/>
    <xf numFmtId="0" fontId="0" fillId="12" borderId="17" xfId="0" applyFill="1" applyBorder="1"/>
    <xf numFmtId="0" fontId="0" fillId="13" borderId="16" xfId="0" applyFill="1" applyBorder="1"/>
    <xf numFmtId="0" fontId="0" fillId="13" borderId="1" xfId="0" applyFill="1" applyBorder="1"/>
    <xf numFmtId="0" fontId="0" fillId="13" borderId="17" xfId="0" applyFill="1" applyBorder="1"/>
    <xf numFmtId="0" fontId="0" fillId="13" borderId="18" xfId="0" applyFill="1" applyBorder="1"/>
    <xf numFmtId="0" fontId="0" fillId="13" borderId="19" xfId="0" applyFill="1" applyBorder="1"/>
    <xf numFmtId="0" fontId="0" fillId="13" borderId="20" xfId="0" applyFill="1" applyBorder="1"/>
    <xf numFmtId="0" fontId="0" fillId="14" borderId="16" xfId="0" applyFill="1" applyBorder="1"/>
    <xf numFmtId="0" fontId="0" fillId="14" borderId="1" xfId="0" applyFill="1" applyBorder="1"/>
    <xf numFmtId="0" fontId="0" fillId="14" borderId="17" xfId="0" applyFill="1" applyBorder="1"/>
    <xf numFmtId="0" fontId="0" fillId="8" borderId="9" xfId="0" applyFill="1" applyBorder="1"/>
    <xf numFmtId="0" fontId="0" fillId="0" borderId="21" xfId="0" applyBorder="1" applyAlignment="1">
      <alignment horizontal="left" vertical="top"/>
    </xf>
    <xf numFmtId="0" fontId="0" fillId="0" borderId="22" xfId="0" applyBorder="1" applyAlignment="1">
      <alignment horizontal="left" vertical="top"/>
    </xf>
    <xf numFmtId="0" fontId="0" fillId="0" borderId="23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9" fontId="0" fillId="0" borderId="6" xfId="2" applyNumberFormat="1" applyFont="1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9" fontId="0" fillId="0" borderId="1" xfId="2" applyNumberFormat="1" applyFont="1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9" fontId="0" fillId="0" borderId="9" xfId="2" applyNumberFormat="1" applyFont="1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3" fillId="14" borderId="5" xfId="0" applyFont="1" applyFill="1" applyBorder="1"/>
    <xf numFmtId="0" fontId="3" fillId="14" borderId="6" xfId="0" applyFont="1" applyFill="1" applyBorder="1"/>
    <xf numFmtId="0" fontId="3" fillId="14" borderId="7" xfId="0" applyFont="1" applyFill="1" applyBorder="1"/>
    <xf numFmtId="0" fontId="0" fillId="14" borderId="3" xfId="0" applyFill="1" applyBorder="1"/>
    <xf numFmtId="0" fontId="0" fillId="14" borderId="4" xfId="0" applyFill="1" applyBorder="1"/>
    <xf numFmtId="10" fontId="0" fillId="14" borderId="1" xfId="2" applyNumberFormat="1" applyFont="1" applyFill="1" applyBorder="1"/>
    <xf numFmtId="43" fontId="0" fillId="0" borderId="6" xfId="1" applyFont="1" applyBorder="1" applyAlignment="1">
      <alignment horizontal="left" vertical="top"/>
    </xf>
    <xf numFmtId="43" fontId="0" fillId="0" borderId="1" xfId="1" applyFont="1" applyBorder="1" applyAlignment="1">
      <alignment horizontal="left" vertical="top"/>
    </xf>
    <xf numFmtId="43" fontId="0" fillId="0" borderId="9" xfId="1" applyFont="1" applyBorder="1" applyAlignment="1">
      <alignment horizontal="left" vertical="top"/>
    </xf>
    <xf numFmtId="0" fontId="0" fillId="10" borderId="3" xfId="0" applyFill="1" applyBorder="1"/>
    <xf numFmtId="10" fontId="0" fillId="10" borderId="1" xfId="2" applyNumberFormat="1" applyFont="1" applyFill="1" applyBorder="1"/>
    <xf numFmtId="0" fontId="0" fillId="10" borderId="4" xfId="0" applyFill="1" applyBorder="1"/>
    <xf numFmtId="0" fontId="0" fillId="7" borderId="3" xfId="0" applyFill="1" applyBorder="1"/>
    <xf numFmtId="10" fontId="0" fillId="7" borderId="1" xfId="2" applyNumberFormat="1" applyFont="1" applyFill="1" applyBorder="1"/>
    <xf numFmtId="0" fontId="0" fillId="7" borderId="4" xfId="0" applyFill="1" applyBorder="1"/>
    <xf numFmtId="0" fontId="0" fillId="11" borderId="3" xfId="0" applyFill="1" applyBorder="1"/>
    <xf numFmtId="10" fontId="0" fillId="11" borderId="1" xfId="2" applyNumberFormat="1" applyFont="1" applyFill="1" applyBorder="1"/>
    <xf numFmtId="0" fontId="0" fillId="11" borderId="4" xfId="0" applyFill="1" applyBorder="1"/>
    <xf numFmtId="0" fontId="0" fillId="3" borderId="3" xfId="0" applyFill="1" applyBorder="1"/>
    <xf numFmtId="10" fontId="0" fillId="3" borderId="1" xfId="2" applyNumberFormat="1" applyFont="1" applyFill="1" applyBorder="1"/>
    <xf numFmtId="0" fontId="0" fillId="3" borderId="4" xfId="0" applyFill="1" applyBorder="1"/>
    <xf numFmtId="0" fontId="0" fillId="8" borderId="3" xfId="0" applyFill="1" applyBorder="1"/>
    <xf numFmtId="10" fontId="0" fillId="8" borderId="1" xfId="2" applyNumberFormat="1" applyFont="1" applyFill="1" applyBorder="1"/>
    <xf numFmtId="0" fontId="0" fillId="8" borderId="4" xfId="0" applyFill="1" applyBorder="1"/>
    <xf numFmtId="0" fontId="0" fillId="9" borderId="3" xfId="0" applyFill="1" applyBorder="1"/>
    <xf numFmtId="10" fontId="0" fillId="9" borderId="1" xfId="2" applyNumberFormat="1" applyFont="1" applyFill="1" applyBorder="1"/>
    <xf numFmtId="0" fontId="0" fillId="9" borderId="4" xfId="0" applyFill="1" applyBorder="1"/>
    <xf numFmtId="0" fontId="0" fillId="13" borderId="3" xfId="0" applyFill="1" applyBorder="1"/>
    <xf numFmtId="10" fontId="0" fillId="13" borderId="1" xfId="2" applyNumberFormat="1" applyFont="1" applyFill="1" applyBorder="1"/>
    <xf numFmtId="0" fontId="0" fillId="13" borderId="4" xfId="0" applyFill="1" applyBorder="1"/>
    <xf numFmtId="0" fontId="0" fillId="15" borderId="3" xfId="0" applyFill="1" applyBorder="1"/>
    <xf numFmtId="0" fontId="0" fillId="15" borderId="1" xfId="0" applyFill="1" applyBorder="1"/>
    <xf numFmtId="10" fontId="0" fillId="15" borderId="1" xfId="2" applyNumberFormat="1" applyFont="1" applyFill="1" applyBorder="1"/>
    <xf numFmtId="0" fontId="0" fillId="15" borderId="4" xfId="0" applyFill="1" applyBorder="1"/>
    <xf numFmtId="0" fontId="0" fillId="8" borderId="8" xfId="0" applyFill="1" applyBorder="1"/>
    <xf numFmtId="10" fontId="0" fillId="8" borderId="9" xfId="2" applyNumberFormat="1" applyFont="1" applyFill="1" applyBorder="1"/>
    <xf numFmtId="0" fontId="0" fillId="8" borderId="10" xfId="0" applyFill="1" applyBorder="1"/>
    <xf numFmtId="169" fontId="0" fillId="10" borderId="1" xfId="1" applyNumberFormat="1" applyFont="1" applyFill="1" applyBorder="1"/>
    <xf numFmtId="169" fontId="0" fillId="7" borderId="1" xfId="1" applyNumberFormat="1" applyFont="1" applyFill="1" applyBorder="1"/>
    <xf numFmtId="169" fontId="0" fillId="11" borderId="1" xfId="1" applyNumberFormat="1" applyFont="1" applyFill="1" applyBorder="1"/>
    <xf numFmtId="169" fontId="0" fillId="3" borderId="1" xfId="1" applyNumberFormat="1" applyFont="1" applyFill="1" applyBorder="1"/>
    <xf numFmtId="169" fontId="0" fillId="8" borderId="1" xfId="1" applyNumberFormat="1" applyFont="1" applyFill="1" applyBorder="1"/>
    <xf numFmtId="169" fontId="0" fillId="9" borderId="1" xfId="1" applyNumberFormat="1" applyFont="1" applyFill="1" applyBorder="1"/>
    <xf numFmtId="169" fontId="0" fillId="13" borderId="1" xfId="1" applyNumberFormat="1" applyFont="1" applyFill="1" applyBorder="1"/>
    <xf numFmtId="169" fontId="0" fillId="15" borderId="1" xfId="1" applyNumberFormat="1" applyFont="1" applyFill="1" applyBorder="1"/>
    <xf numFmtId="169" fontId="0" fillId="8" borderId="9" xfId="1" applyNumberFormat="1" applyFont="1" applyFill="1" applyBorder="1"/>
    <xf numFmtId="169" fontId="0" fillId="14" borderId="1" xfId="1" applyNumberFormat="1" applyFont="1" applyFill="1" applyBorder="1"/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2" fillId="2" borderId="6" xfId="0" applyFont="1" applyFill="1" applyBorder="1" applyAlignment="1">
      <alignment horizontal="center" vertical="top"/>
    </xf>
    <xf numFmtId="0" fontId="2" fillId="2" borderId="7" xfId="0" applyFont="1" applyFill="1" applyBorder="1" applyAlignment="1">
      <alignment horizontal="center" vertical="top"/>
    </xf>
    <xf numFmtId="0" fontId="0" fillId="0" borderId="0" xfId="0" applyAlignment="1">
      <alignment horizontal="center"/>
    </xf>
    <xf numFmtId="0" fontId="0" fillId="16" borderId="3" xfId="0" applyFont="1" applyFill="1" applyBorder="1" applyAlignment="1">
      <alignment horizontal="right" vertical="top"/>
    </xf>
    <xf numFmtId="0" fontId="0" fillId="17" borderId="1" xfId="0" applyFill="1" applyBorder="1" applyAlignment="1">
      <alignment horizontal="right" vertical="top"/>
    </xf>
    <xf numFmtId="0" fontId="0" fillId="16" borderId="1" xfId="0" applyFont="1" applyFill="1" applyBorder="1" applyAlignment="1">
      <alignment horizontal="right" vertical="top"/>
    </xf>
    <xf numFmtId="9" fontId="0" fillId="16" borderId="1" xfId="2" applyFont="1" applyFill="1" applyBorder="1" applyAlignment="1">
      <alignment horizontal="right" vertical="top"/>
    </xf>
    <xf numFmtId="43" fontId="0" fillId="16" borderId="1" xfId="1" applyFont="1" applyFill="1" applyBorder="1" applyAlignment="1">
      <alignment horizontal="right" vertical="top"/>
    </xf>
    <xf numFmtId="0" fontId="0" fillId="16" borderId="4" xfId="0" applyFont="1" applyFill="1" applyBorder="1" applyAlignment="1">
      <alignment horizontal="right" vertical="top"/>
    </xf>
    <xf numFmtId="0" fontId="0" fillId="17" borderId="3" xfId="0" applyFont="1" applyFill="1" applyBorder="1" applyAlignment="1">
      <alignment horizontal="right" vertical="top"/>
    </xf>
    <xf numFmtId="0" fontId="0" fillId="17" borderId="1" xfId="0" applyFont="1" applyFill="1" applyBorder="1" applyAlignment="1">
      <alignment horizontal="right" vertical="top"/>
    </xf>
    <xf numFmtId="9" fontId="0" fillId="17" borderId="1" xfId="2" applyFont="1" applyFill="1" applyBorder="1" applyAlignment="1">
      <alignment horizontal="right" vertical="top"/>
    </xf>
    <xf numFmtId="43" fontId="0" fillId="17" borderId="1" xfId="1" applyFont="1" applyFill="1" applyBorder="1" applyAlignment="1">
      <alignment horizontal="right" vertical="top"/>
    </xf>
    <xf numFmtId="0" fontId="0" fillId="17" borderId="4" xfId="0" applyFont="1" applyFill="1" applyBorder="1" applyAlignment="1">
      <alignment horizontal="right" vertical="top"/>
    </xf>
    <xf numFmtId="0" fontId="0" fillId="17" borderId="8" xfId="0" applyFont="1" applyFill="1" applyBorder="1" applyAlignment="1">
      <alignment horizontal="right" vertical="top"/>
    </xf>
    <xf numFmtId="0" fontId="0" fillId="17" borderId="9" xfId="0" applyFill="1" applyBorder="1" applyAlignment="1">
      <alignment horizontal="right" vertical="top"/>
    </xf>
    <xf numFmtId="0" fontId="0" fillId="17" borderId="9" xfId="0" applyFont="1" applyFill="1" applyBorder="1" applyAlignment="1">
      <alignment horizontal="right" vertical="top"/>
    </xf>
    <xf numFmtId="9" fontId="0" fillId="17" borderId="9" xfId="2" applyFont="1" applyFill="1" applyBorder="1" applyAlignment="1">
      <alignment horizontal="right" vertical="top"/>
    </xf>
    <xf numFmtId="43" fontId="0" fillId="17" borderId="9" xfId="1" applyFont="1" applyFill="1" applyBorder="1" applyAlignment="1">
      <alignment horizontal="right" vertical="top"/>
    </xf>
    <xf numFmtId="0" fontId="0" fillId="17" borderId="10" xfId="0" applyFont="1" applyFill="1" applyBorder="1" applyAlignment="1">
      <alignment horizontal="right" vertical="top"/>
    </xf>
    <xf numFmtId="0" fontId="0" fillId="18" borderId="3" xfId="0" applyFill="1" applyBorder="1" applyAlignment="1">
      <alignment horizontal="right" vertical="top"/>
    </xf>
    <xf numFmtId="0" fontId="0" fillId="18" borderId="1" xfId="0" applyFill="1" applyBorder="1" applyAlignment="1">
      <alignment horizontal="right" vertical="top"/>
    </xf>
    <xf numFmtId="9" fontId="0" fillId="18" borderId="1" xfId="2" applyFont="1" applyFill="1" applyBorder="1" applyAlignment="1">
      <alignment horizontal="right" vertical="top"/>
    </xf>
    <xf numFmtId="43" fontId="0" fillId="18" borderId="1" xfId="1" applyFont="1" applyFill="1" applyBorder="1" applyAlignment="1">
      <alignment horizontal="right" vertical="top"/>
    </xf>
    <xf numFmtId="0" fontId="0" fillId="18" borderId="4" xfId="0" applyFill="1" applyBorder="1" applyAlignment="1">
      <alignment horizontal="right" vertical="top"/>
    </xf>
  </cellXfs>
  <cellStyles count="3">
    <cellStyle name="Comma" xfId="1" builtinId="3"/>
    <cellStyle name="Normal" xfId="0" builtinId="0"/>
    <cellStyle name="Percent" xfId="2" builtinId="5"/>
  </cellStyles>
  <dxfs count="76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right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righ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righ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righ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righ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righ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righ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righ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righ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righ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righ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righ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right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FFFFFF"/>
          <bgColor rgb="FF000000"/>
        </patternFill>
      </fill>
    </dxf>
    <dxf>
      <numFmt numFmtId="169" formatCode="_(* #,##0.000_);_(* \(#,##0.000\);_(* &quot;-&quot;??_);_(@_)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3" formatCode="0%"/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3" formatCode="0%"/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3" formatCode="0%"/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3" formatCode="0%"/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medium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fgColor indexed="64"/>
          <bgColor theme="8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8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8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8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solid">
          <fgColor indexed="64"/>
          <bgColor theme="8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C89D8E-EB80-5C4D-AD9F-F62AE4C6A1A6}" name="Table1" displayName="Table1" ref="A1:O71" totalsRowShown="0" headerRowDxfId="62" headerRowBorderDxfId="74" tableBorderDxfId="75" totalsRowBorderDxfId="73">
  <autoFilter ref="A1:O71" xr:uid="{62C89D8E-EB80-5C4D-AD9F-F62AE4C6A1A6}"/>
  <tableColumns count="15">
    <tableColumn id="1" xr3:uid="{36DCEFE3-D28B-B04B-BCB3-4701ECB3A900}" name="Dataset" dataDxfId="72"/>
    <tableColumn id="2" xr3:uid="{D5143968-3600-DF4C-B5A5-CB750F3C47E5}" name="Thresholding" dataDxfId="71"/>
    <tableColumn id="3" xr3:uid="{28771CD0-468D-3B48-910A-32A008374A3E}" name="Classifier" dataDxfId="70"/>
    <tableColumn id="11" xr3:uid="{1A2671C4-BBEC-2E41-A9E1-555639ED5C1B}" name="Accuracy (95% CI)2" dataDxfId="61">
      <calculatedColumnFormula>LEFT(I2,6)</calculatedColumnFormula>
    </tableColumn>
    <tableColumn id="12" xr3:uid="{7CB11815-6515-7D45-978E-F96706ED8018}" name="Precision (95% CI)3" dataDxfId="60"/>
    <tableColumn id="13" xr3:uid="{F480C3FE-3294-4749-B7AC-A2E8FC57720A}" name="Recall (95% CI)4" dataDxfId="59"/>
    <tableColumn id="14" xr3:uid="{63FE86F7-0325-6048-8CB5-5F4C9CA2CA48}" name="F1 Score (95% CI)5" dataDxfId="58"/>
    <tableColumn id="15" xr3:uid="{528CB35E-FB13-ED43-AB55-D2A6E48A5D52}" name="ROC AUC (95% CI)6" dataDxfId="57"/>
    <tableColumn id="4" xr3:uid="{36E0E558-19C1-6C4D-93A0-A2660022E200}" name="Accuracy (95% CI)" dataDxfId="69"/>
    <tableColumn id="5" xr3:uid="{FEEB1D32-E40F-CF4F-A2A8-0924C49C669C}" name="Precision (95% CI)" dataDxfId="68"/>
    <tableColumn id="6" xr3:uid="{4070A093-5B4B-C243-8A5C-117B5AAF553B}" name="Recall (95% CI)" dataDxfId="67"/>
    <tableColumn id="7" xr3:uid="{296DA6C1-BEE6-4942-A3C3-0D1238C7F905}" name="F1 Score (95% CI)" dataDxfId="66"/>
    <tableColumn id="8" xr3:uid="{4CF018F5-1A43-914E-A885-A90134B7601B}" name="ROC AUC (95% CI)" dataDxfId="65"/>
    <tableColumn id="9" xr3:uid="{A45DEBEE-E0D2-9941-A359-79EA8A110F1D}" name="Optimal Slice Threshold (Youden's J)" dataDxfId="64"/>
    <tableColumn id="10" xr3:uid="{7471CD3C-6C44-284A-B118-6A7AACB7647D}" name="Optimal Patient Threshold (Youden's J)" dataDxfId="6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5BF4FD0-2FB9-3040-BA5B-A1D7F1327DD0}" name="Table14" displayName="Table14" ref="A1:J71" totalsRowShown="0" headerRowDxfId="32" dataDxfId="39" headerRowBorderDxfId="37" tableBorderDxfId="38" totalsRowBorderDxfId="36">
  <autoFilter ref="A1:J71" xr:uid="{C5BF4FD0-2FB9-3040-BA5B-A1D7F1327DD0}">
    <filterColumn colId="0">
      <colorFilter dxfId="21"/>
    </filterColumn>
  </autoFilter>
  <tableColumns count="10">
    <tableColumn id="1" xr3:uid="{ADBF6584-2222-1643-B6B6-23F62F33C836}" name="Dataset" dataDxfId="35"/>
    <tableColumn id="2" xr3:uid="{76FF23CF-0BCE-6E4F-B14D-35D16EEB3109}" name="Thresholding" dataDxfId="34"/>
    <tableColumn id="3" xr3:uid="{11FAABA7-4CC8-9F4B-9D0A-B4CB32EEB0E4}" name="Classifier" dataDxfId="31"/>
    <tableColumn id="11" xr3:uid="{6096E8AB-8B9A-D842-B48E-DAB516081284}" name="Accuracy (95% CI)2" dataDxfId="30" dataCellStyle="Percent"/>
    <tableColumn id="12" xr3:uid="{6B98504C-9B7C-3B49-A14D-24CC0E0A7E6B}" name="Precision (95% CI)3" dataDxfId="29" dataCellStyle="Percent"/>
    <tableColumn id="13" xr3:uid="{4B4267F5-D1C7-204A-A10C-48CF40E9F0E1}" name="Recall (95% CI)4" dataDxfId="28" dataCellStyle="Percent"/>
    <tableColumn id="14" xr3:uid="{317E9BC2-C222-D340-B73F-5D8E167290B9}" name="F1 Score (95% CI)5" dataDxfId="24" dataCellStyle="Percent"/>
    <tableColumn id="15" xr3:uid="{6E9C54CF-7A9C-5944-978C-F0B1069AA4CD}" name="ROC AUC (95% CI)6" dataDxfId="22" dataCellStyle="Comma"/>
    <tableColumn id="9" xr3:uid="{F6214D27-A8A5-3545-8A81-7AD3616A1DBE}" name="Optimal Slice Threshold (Youden's J)" dataDxfId="23"/>
    <tableColumn id="10" xr3:uid="{FBBFFF22-3126-E049-8232-20C3DCD69BEE}" name="Optimal Patient Threshold (Youden's J)" dataDxfId="33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B4F9AD-BA23-A941-9AD4-09B9964170E0}" name="Table2" displayName="Table2" ref="A1:O9" totalsRowShown="0" headerRowDxfId="41" dataDxfId="40" headerRowBorderDxfId="54" tableBorderDxfId="56" totalsRowBorderDxfId="55">
  <autoFilter ref="A1:O9" xr:uid="{24B4F9AD-BA23-A941-9AD4-09B9964170E0}"/>
  <tableColumns count="15">
    <tableColumn id="1" xr3:uid="{232D0B5D-CDF7-9345-8A86-F236F899FBDE}" name="Dataset" dataDxfId="53"/>
    <tableColumn id="2" xr3:uid="{6E663AED-FAAC-6547-A254-41D70B16B4AE}" name="Thresholding" dataDxfId="52"/>
    <tableColumn id="3" xr3:uid="{D29805BF-E99F-964F-AB3C-65E71AB4A3FF}" name="Classifier" dataDxfId="51"/>
    <tableColumn id="4" xr3:uid="{0FEBC618-1169-7F40-B5C7-6E88AB7E9560}" name="Accuracy (95% CI)2" dataDxfId="50" dataCellStyle="Percent"/>
    <tableColumn id="5" xr3:uid="{403BD5FA-F997-B043-95E9-BA08102CF196}" name="Precision (95% CI)3" dataDxfId="49" dataCellStyle="Percent"/>
    <tableColumn id="6" xr3:uid="{5FFD35E7-ECDF-044E-96ED-F181ECF7CE8E}" name="Recall (95% CI)4" dataDxfId="48" dataCellStyle="Percent"/>
    <tableColumn id="7" xr3:uid="{005A2A37-9238-0345-9D5F-1C22CD12E4E8}" name="F1 Score (95% CI)5" dataDxfId="27" dataCellStyle="Percent"/>
    <tableColumn id="8" xr3:uid="{766FE43C-2191-0242-B0A1-6C072B84D705}" name="ROC AUC (95% CI)6" dataDxfId="25" dataCellStyle="Comma"/>
    <tableColumn id="9" xr3:uid="{17127C00-658C-D642-9DAC-019EEABDE608}" name="Accuracy (95% CI)" dataDxfId="26"/>
    <tableColumn id="10" xr3:uid="{DCC6F145-0D7B-F446-B1FF-585029283879}" name="Precision (95% CI)" dataDxfId="47"/>
    <tableColumn id="11" xr3:uid="{6B95A16A-623C-B548-AB94-F86D9626F9CC}" name="Recall (95% CI)" dataDxfId="46"/>
    <tableColumn id="12" xr3:uid="{FE7D17D4-1384-B349-92B6-603B3044984C}" name="F1 Score (95% CI)" dataDxfId="45"/>
    <tableColumn id="13" xr3:uid="{F0A73036-7822-554C-8AD8-C11625E2C617}" name="ROC AUC (95% CI)" dataDxfId="44"/>
    <tableColumn id="14" xr3:uid="{38C86A99-5461-2944-BF48-C36EDC96449C}" name="Optimal Slice Threshold (Youden's J)" dataDxfId="43"/>
    <tableColumn id="15" xr3:uid="{87B2CC6B-3160-D646-916C-7808E8DF83B4}" name="Optimal Patient Threshold (Youden's J)" dataDxfId="4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E8B45B0-4010-B947-81A8-1735A7BDDF3F}" name="Table4" displayName="Table4" ref="A1:P17" totalsRowShown="0" headerRowDxfId="0" dataDxfId="1" headerRowBorderDxfId="19" tableBorderDxfId="20" totalsRowBorderDxfId="18">
  <autoFilter ref="A1:P17" xr:uid="{0E8B45B0-4010-B947-81A8-1735A7BDDF3F}"/>
  <tableColumns count="16">
    <tableColumn id="1" xr3:uid="{9FD9D938-5F8A-6A46-80A7-AF8CA8634C20}" name="Dataset" dataDxfId="17"/>
    <tableColumn id="2" xr3:uid="{81B67B6D-5200-814D-A7CD-C093B75136E0}" name="Bootstrapping" dataDxfId="16"/>
    <tableColumn id="3" xr3:uid="{77EA0C22-1172-7046-BF6D-747C90EE7DD0}" name="Thresholding" dataDxfId="15"/>
    <tableColumn id="4" xr3:uid="{85E69515-F968-9D4E-B140-B27F1CE31380}" name="Classifier" dataDxfId="14"/>
    <tableColumn id="5" xr3:uid="{4C04A766-FB8C-8B43-8185-2F6C4988D61B}" name="Accuracy" dataDxfId="13" dataCellStyle="Percent"/>
    <tableColumn id="6" xr3:uid="{C775EE93-7AF5-0943-9337-3048A6793A93}" name="Precision" dataDxfId="12" dataCellStyle="Percent"/>
    <tableColumn id="7" xr3:uid="{9EE9B5EC-16F7-0D43-A396-BC0C774448CF}" name="Recall" dataDxfId="11" dataCellStyle="Percent"/>
    <tableColumn id="8" xr3:uid="{31F19E2A-0314-0C4D-A929-4B6F5A713D73}" name="F1 Score" dataDxfId="10" dataCellStyle="Percent"/>
    <tableColumn id="9" xr3:uid="{B044D1AF-0C4E-D145-AB6E-DC613F5CC84B}" name="ROC AUC" dataDxfId="9" dataCellStyle="Comma"/>
    <tableColumn id="10" xr3:uid="{20C05C23-BEB7-FB4D-A2ED-F2FE5661C7B5}" name="Optimal Slice Threshold (Youden's J)" dataDxfId="8"/>
    <tableColumn id="11" xr3:uid="{F81A4042-D3D2-A448-92B7-893EC6FDF250}" name="Optimal Patient Threshold (Youden's J)" dataDxfId="7"/>
    <tableColumn id="12" xr3:uid="{F9D8DE00-106C-6542-A551-5A503693163B}" name="Accuracy (95% CI)" dataDxfId="6"/>
    <tableColumn id="13" xr3:uid="{D11F07DA-F9DC-4B4A-8E0E-22C6EFAA8A7D}" name="Precision (95% CI)" dataDxfId="5"/>
    <tableColumn id="14" xr3:uid="{3A17A066-CA64-754A-89DD-E553DDB762A9}" name="Recall (95% CI)" dataDxfId="4"/>
    <tableColumn id="15" xr3:uid="{92655CFA-9948-1646-B026-3655507C0533}" name="F1 Score (95% CI)" dataDxfId="3"/>
    <tableColumn id="16" xr3:uid="{FB6AFA97-16DF-154F-BBD6-BCFAF6B021AD}" name="ROC AUC (95% CI)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4EB0D-91B3-1045-9B1D-E8A3AD98EFD7}">
  <dimension ref="A1:O71"/>
  <sheetViews>
    <sheetView workbookViewId="0">
      <selection sqref="A1:O71"/>
    </sheetView>
  </sheetViews>
  <sheetFormatPr baseColWidth="10" defaultRowHeight="16" x14ac:dyDescent="0.2"/>
  <cols>
    <col min="1" max="1" width="18.1640625" customWidth="1"/>
    <col min="2" max="2" width="14" customWidth="1"/>
    <col min="3" max="3" width="16.6640625" bestFit="1" customWidth="1"/>
    <col min="9" max="13" width="20.83203125" bestFit="1" customWidth="1"/>
    <col min="14" max="14" width="32.83203125" customWidth="1"/>
    <col min="15" max="15" width="34.83203125" customWidth="1"/>
  </cols>
  <sheetData>
    <row r="1" spans="1:15" ht="17" thickBot="1" x14ac:dyDescent="0.25">
      <c r="A1" s="3" t="s">
        <v>29</v>
      </c>
      <c r="B1" s="4" t="s">
        <v>30</v>
      </c>
      <c r="C1" s="4" t="s">
        <v>0</v>
      </c>
      <c r="D1" s="4" t="s">
        <v>306</v>
      </c>
      <c r="E1" s="4" t="s">
        <v>307</v>
      </c>
      <c r="F1" s="4" t="s">
        <v>308</v>
      </c>
      <c r="G1" s="4" t="s">
        <v>309</v>
      </c>
      <c r="H1" s="4" t="s">
        <v>310</v>
      </c>
      <c r="I1" s="4" t="s">
        <v>3</v>
      </c>
      <c r="J1" s="4" t="s">
        <v>4</v>
      </c>
      <c r="K1" s="4" t="s">
        <v>5</v>
      </c>
      <c r="L1" s="4" t="s">
        <v>6</v>
      </c>
      <c r="M1" s="4" t="s">
        <v>7</v>
      </c>
      <c r="N1" s="4" t="s">
        <v>1</v>
      </c>
      <c r="O1" s="5" t="s">
        <v>2</v>
      </c>
    </row>
    <row r="2" spans="1:15" x14ac:dyDescent="0.2">
      <c r="A2" s="7" t="s">
        <v>31</v>
      </c>
      <c r="B2" s="8" t="s">
        <v>32</v>
      </c>
      <c r="C2" s="8" t="s">
        <v>8</v>
      </c>
      <c r="D2" s="6" t="str">
        <f>LEFT(I2,6)</f>
        <v>0.7729</v>
      </c>
      <c r="E2" s="6"/>
      <c r="F2" s="6"/>
      <c r="G2" s="6"/>
      <c r="H2" s="6"/>
      <c r="I2" s="8" t="s">
        <v>9</v>
      </c>
      <c r="J2" s="8" t="s">
        <v>10</v>
      </c>
      <c r="K2" s="8" t="s">
        <v>10</v>
      </c>
      <c r="L2" s="8" t="s">
        <v>10</v>
      </c>
      <c r="M2" s="8" t="s">
        <v>11</v>
      </c>
      <c r="N2" s="8">
        <v>0.52590000000000003</v>
      </c>
      <c r="O2" s="9">
        <v>0.72499999999999998</v>
      </c>
    </row>
    <row r="3" spans="1:15" x14ac:dyDescent="0.2">
      <c r="A3" s="10" t="s">
        <v>31</v>
      </c>
      <c r="B3" s="11" t="s">
        <v>32</v>
      </c>
      <c r="C3" s="11" t="s">
        <v>12</v>
      </c>
      <c r="D3" s="1" t="str">
        <f>LEFT(I3,6)</f>
        <v>0.7711</v>
      </c>
      <c r="E3" s="1"/>
      <c r="F3" s="1"/>
      <c r="G3" s="1"/>
      <c r="H3" s="1"/>
      <c r="I3" s="11" t="s">
        <v>13</v>
      </c>
      <c r="J3" s="11" t="s">
        <v>14</v>
      </c>
      <c r="K3" s="11" t="s">
        <v>15</v>
      </c>
      <c r="L3" s="11" t="s">
        <v>16</v>
      </c>
      <c r="M3" s="11" t="s">
        <v>17</v>
      </c>
      <c r="N3" s="11">
        <v>0.36749999999999999</v>
      </c>
      <c r="O3" s="12">
        <v>0.97499999999999998</v>
      </c>
    </row>
    <row r="4" spans="1:15" x14ac:dyDescent="0.2">
      <c r="A4" s="52" t="s">
        <v>31</v>
      </c>
      <c r="B4" s="53" t="s">
        <v>32</v>
      </c>
      <c r="C4" s="53" t="s">
        <v>18</v>
      </c>
      <c r="D4" s="53" t="str">
        <f>LEFT(I4,6)</f>
        <v>0.9233</v>
      </c>
      <c r="E4" s="53" t="str">
        <f>LEFT(J4,6)</f>
        <v>0.8010</v>
      </c>
      <c r="F4" s="53" t="str">
        <f>LEFT(K4,6)</f>
        <v>0.8867</v>
      </c>
      <c r="G4" s="53" t="str">
        <f>LEFT(L4,6)</f>
        <v>0.8395</v>
      </c>
      <c r="H4" s="53" t="str">
        <f>LEFT(M4,6)</f>
        <v>0.9463</v>
      </c>
      <c r="I4" s="53" t="s">
        <v>19</v>
      </c>
      <c r="J4" s="53" t="s">
        <v>20</v>
      </c>
      <c r="K4" s="53" t="s">
        <v>21</v>
      </c>
      <c r="L4" s="53" t="s">
        <v>22</v>
      </c>
      <c r="M4" s="53" t="s">
        <v>23</v>
      </c>
      <c r="N4" s="53">
        <v>0.40329999999999999</v>
      </c>
      <c r="O4" s="54">
        <v>0.72499999999999998</v>
      </c>
    </row>
    <row r="5" spans="1:15" x14ac:dyDescent="0.2">
      <c r="A5" s="10" t="s">
        <v>31</v>
      </c>
      <c r="B5" s="11" t="s">
        <v>32</v>
      </c>
      <c r="C5" s="11" t="s">
        <v>24</v>
      </c>
      <c r="D5" s="1" t="str">
        <f>LEFT(I5,6)</f>
        <v>0.7586</v>
      </c>
      <c r="E5" s="1"/>
      <c r="F5" s="1"/>
      <c r="G5" s="1"/>
      <c r="H5" s="1"/>
      <c r="I5" s="11" t="s">
        <v>25</v>
      </c>
      <c r="J5" s="11" t="s">
        <v>10</v>
      </c>
      <c r="K5" s="11" t="s">
        <v>10</v>
      </c>
      <c r="L5" s="11" t="s">
        <v>10</v>
      </c>
      <c r="M5" s="11" t="s">
        <v>26</v>
      </c>
      <c r="N5" s="11">
        <v>0.2853</v>
      </c>
      <c r="O5" s="12">
        <v>1</v>
      </c>
    </row>
    <row r="6" spans="1:15" x14ac:dyDescent="0.2">
      <c r="A6" s="10" t="s">
        <v>31</v>
      </c>
      <c r="B6" s="11" t="s">
        <v>32</v>
      </c>
      <c r="C6" s="11" t="s">
        <v>27</v>
      </c>
      <c r="D6" s="1" t="str">
        <f>LEFT(I6,6)</f>
        <v>0.7721</v>
      </c>
      <c r="E6" s="1"/>
      <c r="F6" s="1"/>
      <c r="G6" s="1"/>
      <c r="H6" s="1"/>
      <c r="I6" s="11" t="s">
        <v>28</v>
      </c>
      <c r="J6" s="11" t="s">
        <v>10</v>
      </c>
      <c r="K6" s="11" t="s">
        <v>10</v>
      </c>
      <c r="L6" s="11" t="s">
        <v>10</v>
      </c>
      <c r="M6" s="11" t="s">
        <v>11</v>
      </c>
      <c r="N6" s="11">
        <v>0.65249999999999997</v>
      </c>
      <c r="O6" s="12">
        <v>0.65</v>
      </c>
    </row>
    <row r="7" spans="1:15" x14ac:dyDescent="0.2">
      <c r="A7" s="13" t="s">
        <v>58</v>
      </c>
      <c r="B7" s="14" t="s">
        <v>32</v>
      </c>
      <c r="C7" s="14" t="s">
        <v>8</v>
      </c>
      <c r="D7" s="1" t="str">
        <f>LEFT(I7,6)</f>
        <v>0.6711</v>
      </c>
      <c r="E7" s="1"/>
      <c r="F7" s="1"/>
      <c r="G7" s="1"/>
      <c r="H7" s="1"/>
      <c r="I7" s="14" t="s">
        <v>33</v>
      </c>
      <c r="J7" s="14" t="s">
        <v>34</v>
      </c>
      <c r="K7" s="14" t="s">
        <v>35</v>
      </c>
      <c r="L7" s="14" t="s">
        <v>36</v>
      </c>
      <c r="M7" s="14" t="s">
        <v>37</v>
      </c>
      <c r="N7" s="14">
        <v>0.30230000000000001</v>
      </c>
      <c r="O7" s="15">
        <v>1</v>
      </c>
    </row>
    <row r="8" spans="1:15" x14ac:dyDescent="0.2">
      <c r="A8" s="13" t="s">
        <v>58</v>
      </c>
      <c r="B8" s="14" t="s">
        <v>32</v>
      </c>
      <c r="C8" s="14" t="s">
        <v>12</v>
      </c>
      <c r="D8" s="1" t="str">
        <f>LEFT(I8,6)</f>
        <v>0.6466</v>
      </c>
      <c r="E8" s="1"/>
      <c r="F8" s="1"/>
      <c r="G8" s="1"/>
      <c r="H8" s="1"/>
      <c r="I8" s="14" t="s">
        <v>38</v>
      </c>
      <c r="J8" s="14" t="s">
        <v>39</v>
      </c>
      <c r="K8" s="14" t="s">
        <v>40</v>
      </c>
      <c r="L8" s="14" t="s">
        <v>41</v>
      </c>
      <c r="M8" s="14" t="s">
        <v>42</v>
      </c>
      <c r="N8" s="14">
        <v>0.37309999999999999</v>
      </c>
      <c r="O8" s="15">
        <v>1</v>
      </c>
    </row>
    <row r="9" spans="1:15" x14ac:dyDescent="0.2">
      <c r="A9" s="52" t="s">
        <v>58</v>
      </c>
      <c r="B9" s="53" t="s">
        <v>32</v>
      </c>
      <c r="C9" s="53" t="s">
        <v>18</v>
      </c>
      <c r="D9" s="1" t="str">
        <f>LEFT(I9,6)</f>
        <v>0.6577</v>
      </c>
      <c r="E9" s="1"/>
      <c r="F9" s="1"/>
      <c r="G9" s="1"/>
      <c r="H9" s="1"/>
      <c r="I9" s="53" t="s">
        <v>43</v>
      </c>
      <c r="J9" s="53" t="s">
        <v>44</v>
      </c>
      <c r="K9" s="53" t="s">
        <v>45</v>
      </c>
      <c r="L9" s="53" t="s">
        <v>46</v>
      </c>
      <c r="M9" s="53" t="s">
        <v>47</v>
      </c>
      <c r="N9" s="53">
        <v>0.49440000000000001</v>
      </c>
      <c r="O9" s="54">
        <v>1</v>
      </c>
    </row>
    <row r="10" spans="1:15" x14ac:dyDescent="0.2">
      <c r="A10" s="13" t="s">
        <v>58</v>
      </c>
      <c r="B10" s="14" t="s">
        <v>32</v>
      </c>
      <c r="C10" s="14" t="s">
        <v>24</v>
      </c>
      <c r="D10" s="1" t="str">
        <f>LEFT(I10,6)</f>
        <v>0.6315</v>
      </c>
      <c r="E10" s="1"/>
      <c r="F10" s="1"/>
      <c r="G10" s="1"/>
      <c r="H10" s="1"/>
      <c r="I10" s="14" t="s">
        <v>48</v>
      </c>
      <c r="J10" s="14" t="s">
        <v>49</v>
      </c>
      <c r="K10" s="14" t="s">
        <v>50</v>
      </c>
      <c r="L10" s="14" t="s">
        <v>51</v>
      </c>
      <c r="M10" s="14" t="s">
        <v>52</v>
      </c>
      <c r="N10" s="14">
        <v>0.68630000000000002</v>
      </c>
      <c r="O10" s="15">
        <v>1</v>
      </c>
    </row>
    <row r="11" spans="1:15" x14ac:dyDescent="0.2">
      <c r="A11" s="13" t="s">
        <v>58</v>
      </c>
      <c r="B11" s="14" t="s">
        <v>32</v>
      </c>
      <c r="C11" s="14" t="s">
        <v>27</v>
      </c>
      <c r="D11" s="1" t="str">
        <f>LEFT(I11,6)</f>
        <v>0.6715</v>
      </c>
      <c r="E11" s="1"/>
      <c r="F11" s="1"/>
      <c r="G11" s="1"/>
      <c r="H11" s="1"/>
      <c r="I11" s="14" t="s">
        <v>53</v>
      </c>
      <c r="J11" s="14" t="s">
        <v>54</v>
      </c>
      <c r="K11" s="14" t="s">
        <v>55</v>
      </c>
      <c r="L11" s="14" t="s">
        <v>56</v>
      </c>
      <c r="M11" s="14" t="s">
        <v>57</v>
      </c>
      <c r="N11" s="14">
        <v>0.37930000000000003</v>
      </c>
      <c r="O11" s="15">
        <v>1</v>
      </c>
    </row>
    <row r="12" spans="1:15" x14ac:dyDescent="0.2">
      <c r="A12" s="52" t="s">
        <v>82</v>
      </c>
      <c r="B12" s="53" t="s">
        <v>32</v>
      </c>
      <c r="C12" s="53" t="s">
        <v>8</v>
      </c>
      <c r="D12" s="53" t="str">
        <f>LEFT(I12,6)</f>
        <v>0.9237</v>
      </c>
      <c r="E12" s="53" t="str">
        <f>LEFT(J12,6)</f>
        <v>0.7491</v>
      </c>
      <c r="F12" s="53" t="str">
        <f>LEFT(K12,6)</f>
        <v>1.0000</v>
      </c>
      <c r="G12" s="53" t="str">
        <f>LEFT(L12,6)</f>
        <v>0.8547</v>
      </c>
      <c r="H12" s="53" t="str">
        <f>LEFT(M12,6)</f>
        <v>0.9230</v>
      </c>
      <c r="I12" s="53" t="s">
        <v>59</v>
      </c>
      <c r="J12" s="53" t="s">
        <v>60</v>
      </c>
      <c r="K12" s="53" t="s">
        <v>61</v>
      </c>
      <c r="L12" s="53" t="s">
        <v>62</v>
      </c>
      <c r="M12" s="53" t="s">
        <v>63</v>
      </c>
      <c r="N12" s="53">
        <v>0.59109999999999996</v>
      </c>
      <c r="O12" s="54">
        <v>0.7</v>
      </c>
    </row>
    <row r="13" spans="1:15" x14ac:dyDescent="0.2">
      <c r="A13" s="16" t="s">
        <v>82</v>
      </c>
      <c r="B13" s="17" t="s">
        <v>32</v>
      </c>
      <c r="C13" s="17" t="s">
        <v>12</v>
      </c>
      <c r="D13" s="1" t="str">
        <f>LEFT(I13,6)</f>
        <v>0.8476</v>
      </c>
      <c r="E13" s="1"/>
      <c r="F13" s="1"/>
      <c r="G13" s="1"/>
      <c r="H13" s="1"/>
      <c r="I13" s="17" t="s">
        <v>64</v>
      </c>
      <c r="J13" s="17" t="s">
        <v>65</v>
      </c>
      <c r="K13" s="17" t="s">
        <v>61</v>
      </c>
      <c r="L13" s="17" t="s">
        <v>66</v>
      </c>
      <c r="M13" s="17" t="s">
        <v>67</v>
      </c>
      <c r="N13" s="17">
        <v>0.30359999999999998</v>
      </c>
      <c r="O13" s="18">
        <v>0.75</v>
      </c>
    </row>
    <row r="14" spans="1:15" x14ac:dyDescent="0.2">
      <c r="A14" s="16" t="s">
        <v>82</v>
      </c>
      <c r="B14" s="17" t="s">
        <v>32</v>
      </c>
      <c r="C14" s="17" t="s">
        <v>18</v>
      </c>
      <c r="D14" s="1" t="str">
        <f>LEFT(I14,6)</f>
        <v>0.8854</v>
      </c>
      <c r="E14" s="1"/>
      <c r="F14" s="1"/>
      <c r="G14" s="1"/>
      <c r="H14" s="1"/>
      <c r="I14" s="17" t="s">
        <v>68</v>
      </c>
      <c r="J14" s="17" t="s">
        <v>69</v>
      </c>
      <c r="K14" s="17" t="s">
        <v>61</v>
      </c>
      <c r="L14" s="17" t="s">
        <v>70</v>
      </c>
      <c r="M14" s="17" t="s">
        <v>71</v>
      </c>
      <c r="N14" s="17">
        <v>0.34439999999999998</v>
      </c>
      <c r="O14" s="18">
        <v>0.75</v>
      </c>
    </row>
    <row r="15" spans="1:15" x14ac:dyDescent="0.2">
      <c r="A15" s="16" t="s">
        <v>82</v>
      </c>
      <c r="B15" s="17" t="s">
        <v>32</v>
      </c>
      <c r="C15" s="17" t="s">
        <v>24</v>
      </c>
      <c r="D15" s="1" t="str">
        <f>LEFT(I15,6)</f>
        <v>0.7850</v>
      </c>
      <c r="E15" s="1"/>
      <c r="F15" s="1"/>
      <c r="G15" s="1"/>
      <c r="H15" s="1"/>
      <c r="I15" s="17" t="s">
        <v>72</v>
      </c>
      <c r="J15" s="17" t="s">
        <v>73</v>
      </c>
      <c r="K15" s="17" t="s">
        <v>74</v>
      </c>
      <c r="L15" s="17" t="s">
        <v>75</v>
      </c>
      <c r="M15" s="17" t="s">
        <v>76</v>
      </c>
      <c r="N15" s="17">
        <v>0.32469999999999999</v>
      </c>
      <c r="O15" s="18">
        <v>0.8</v>
      </c>
    </row>
    <row r="16" spans="1:15" x14ac:dyDescent="0.2">
      <c r="A16" s="16" t="s">
        <v>82</v>
      </c>
      <c r="B16" s="17" t="s">
        <v>32</v>
      </c>
      <c r="C16" s="17" t="s">
        <v>27</v>
      </c>
      <c r="D16" s="1" t="str">
        <f>LEFT(I16,6)</f>
        <v>0.8600</v>
      </c>
      <c r="E16" s="1"/>
      <c r="F16" s="1"/>
      <c r="G16" s="1"/>
      <c r="H16" s="1"/>
      <c r="I16" s="17" t="s">
        <v>77</v>
      </c>
      <c r="J16" s="17" t="s">
        <v>78</v>
      </c>
      <c r="K16" s="17" t="s">
        <v>79</v>
      </c>
      <c r="L16" s="17" t="s">
        <v>80</v>
      </c>
      <c r="M16" s="17" t="s">
        <v>81</v>
      </c>
      <c r="N16" s="17">
        <v>0.3705</v>
      </c>
      <c r="O16" s="18">
        <v>0.75</v>
      </c>
    </row>
    <row r="17" spans="1:15" x14ac:dyDescent="0.2">
      <c r="A17" s="19" t="s">
        <v>99</v>
      </c>
      <c r="B17" s="20" t="s">
        <v>32</v>
      </c>
      <c r="C17" s="20" t="s">
        <v>8</v>
      </c>
      <c r="D17" s="1" t="str">
        <f>LEFT(I17,6)</f>
        <v>0.2281</v>
      </c>
      <c r="E17" s="1"/>
      <c r="F17" s="1"/>
      <c r="G17" s="1"/>
      <c r="H17" s="1"/>
      <c r="I17" s="20" t="s">
        <v>83</v>
      </c>
      <c r="J17" s="20" t="s">
        <v>83</v>
      </c>
      <c r="K17" s="20" t="s">
        <v>61</v>
      </c>
      <c r="L17" s="20" t="s">
        <v>84</v>
      </c>
      <c r="M17" s="20" t="s">
        <v>11</v>
      </c>
      <c r="N17" s="20">
        <v>0.2041</v>
      </c>
      <c r="O17" s="21">
        <v>1</v>
      </c>
    </row>
    <row r="18" spans="1:15" x14ac:dyDescent="0.2">
      <c r="A18" s="19" t="s">
        <v>99</v>
      </c>
      <c r="B18" s="20" t="s">
        <v>32</v>
      </c>
      <c r="C18" s="20" t="s">
        <v>12</v>
      </c>
      <c r="D18" s="1" t="str">
        <f>LEFT(I18,6)</f>
        <v>0.2275</v>
      </c>
      <c r="E18" s="1"/>
      <c r="F18" s="1"/>
      <c r="G18" s="1"/>
      <c r="H18" s="1"/>
      <c r="I18" s="20" t="s">
        <v>85</v>
      </c>
      <c r="J18" s="20" t="s">
        <v>85</v>
      </c>
      <c r="K18" s="20" t="s">
        <v>61</v>
      </c>
      <c r="L18" s="20" t="s">
        <v>86</v>
      </c>
      <c r="M18" s="20" t="s">
        <v>11</v>
      </c>
      <c r="N18" s="20">
        <v>0.3931</v>
      </c>
      <c r="O18" s="21">
        <v>1</v>
      </c>
    </row>
    <row r="19" spans="1:15" x14ac:dyDescent="0.2">
      <c r="A19" s="52" t="s">
        <v>99</v>
      </c>
      <c r="B19" s="53" t="s">
        <v>32</v>
      </c>
      <c r="C19" s="53" t="s">
        <v>18</v>
      </c>
      <c r="D19" s="1" t="str">
        <f>LEFT(I19,6)</f>
        <v>0.6958</v>
      </c>
      <c r="E19" s="1"/>
      <c r="F19" s="1"/>
      <c r="G19" s="1"/>
      <c r="H19" s="1"/>
      <c r="I19" s="53" t="s">
        <v>87</v>
      </c>
      <c r="J19" s="53" t="s">
        <v>88</v>
      </c>
      <c r="K19" s="53" t="s">
        <v>89</v>
      </c>
      <c r="L19" s="53" t="s">
        <v>90</v>
      </c>
      <c r="M19" s="53" t="s">
        <v>91</v>
      </c>
      <c r="N19" s="53">
        <v>0.50509999999999999</v>
      </c>
      <c r="O19" s="54">
        <v>1</v>
      </c>
    </row>
    <row r="20" spans="1:15" x14ac:dyDescent="0.2">
      <c r="A20" s="19" t="s">
        <v>99</v>
      </c>
      <c r="B20" s="20" t="s">
        <v>32</v>
      </c>
      <c r="C20" s="20" t="s">
        <v>24</v>
      </c>
      <c r="D20" s="1" t="str">
        <f>LEFT(I20,6)</f>
        <v>0.4812</v>
      </c>
      <c r="E20" s="1"/>
      <c r="F20" s="1"/>
      <c r="G20" s="1"/>
      <c r="H20" s="1"/>
      <c r="I20" s="20" t="s">
        <v>92</v>
      </c>
      <c r="J20" s="20" t="s">
        <v>93</v>
      </c>
      <c r="K20" s="20" t="s">
        <v>94</v>
      </c>
      <c r="L20" s="20" t="s">
        <v>95</v>
      </c>
      <c r="M20" s="20" t="s">
        <v>96</v>
      </c>
      <c r="N20" s="20">
        <v>0.755</v>
      </c>
      <c r="O20" s="21">
        <v>1</v>
      </c>
    </row>
    <row r="21" spans="1:15" x14ac:dyDescent="0.2">
      <c r="A21" s="19" t="s">
        <v>99</v>
      </c>
      <c r="B21" s="20" t="s">
        <v>32</v>
      </c>
      <c r="C21" s="20" t="s">
        <v>27</v>
      </c>
      <c r="D21" s="1" t="str">
        <f>LEFT(I21,6)</f>
        <v>0.2271</v>
      </c>
      <c r="E21" s="1"/>
      <c r="F21" s="1"/>
      <c r="G21" s="1"/>
      <c r="H21" s="1"/>
      <c r="I21" s="20" t="s">
        <v>97</v>
      </c>
      <c r="J21" s="20" t="s">
        <v>97</v>
      </c>
      <c r="K21" s="20" t="s">
        <v>61</v>
      </c>
      <c r="L21" s="20" t="s">
        <v>98</v>
      </c>
      <c r="M21" s="20" t="s">
        <v>11</v>
      </c>
      <c r="N21" s="20">
        <v>0.26650000000000001</v>
      </c>
      <c r="O21" s="21">
        <v>1</v>
      </c>
    </row>
    <row r="22" spans="1:15" x14ac:dyDescent="0.2">
      <c r="A22" s="22" t="s">
        <v>119</v>
      </c>
      <c r="B22" s="23" t="s">
        <v>32</v>
      </c>
      <c r="C22" s="23" t="s">
        <v>8</v>
      </c>
      <c r="D22" s="1" t="str">
        <f>LEFT(I22,6)</f>
        <v>0.2654</v>
      </c>
      <c r="E22" s="1"/>
      <c r="F22" s="1"/>
      <c r="G22" s="1"/>
      <c r="H22" s="1"/>
      <c r="I22" s="23" t="s">
        <v>100</v>
      </c>
      <c r="J22" s="23" t="s">
        <v>101</v>
      </c>
      <c r="K22" s="23" t="s">
        <v>102</v>
      </c>
      <c r="L22" s="23" t="s">
        <v>103</v>
      </c>
      <c r="M22" s="23" t="s">
        <v>104</v>
      </c>
      <c r="N22" s="23">
        <v>0.24859999999999999</v>
      </c>
      <c r="O22" s="24">
        <v>1</v>
      </c>
    </row>
    <row r="23" spans="1:15" x14ac:dyDescent="0.2">
      <c r="A23" s="22" t="s">
        <v>119</v>
      </c>
      <c r="B23" s="23" t="s">
        <v>32</v>
      </c>
      <c r="C23" s="23" t="s">
        <v>12</v>
      </c>
      <c r="D23" s="1" t="str">
        <f>LEFT(I23,6)</f>
        <v>0.2294</v>
      </c>
      <c r="E23" s="1"/>
      <c r="F23" s="1"/>
      <c r="G23" s="1"/>
      <c r="H23" s="1"/>
      <c r="I23" s="23" t="s">
        <v>105</v>
      </c>
      <c r="J23" s="23" t="s">
        <v>105</v>
      </c>
      <c r="K23" s="23" t="s">
        <v>61</v>
      </c>
      <c r="L23" s="23" t="s">
        <v>106</v>
      </c>
      <c r="M23" s="23" t="s">
        <v>11</v>
      </c>
      <c r="N23" s="23">
        <v>0.48920000000000002</v>
      </c>
      <c r="O23" s="24">
        <v>1</v>
      </c>
    </row>
    <row r="24" spans="1:15" x14ac:dyDescent="0.2">
      <c r="A24" s="52" t="s">
        <v>119</v>
      </c>
      <c r="B24" s="53" t="s">
        <v>32</v>
      </c>
      <c r="C24" s="53" t="s">
        <v>18</v>
      </c>
      <c r="D24" s="1" t="str">
        <f>LEFT(I24,6)</f>
        <v>0.6981</v>
      </c>
      <c r="E24" s="1"/>
      <c r="F24" s="1"/>
      <c r="G24" s="1"/>
      <c r="H24" s="1"/>
      <c r="I24" s="53" t="s">
        <v>107</v>
      </c>
      <c r="J24" s="53" t="s">
        <v>108</v>
      </c>
      <c r="K24" s="53" t="s">
        <v>109</v>
      </c>
      <c r="L24" s="53" t="s">
        <v>110</v>
      </c>
      <c r="M24" s="53" t="s">
        <v>111</v>
      </c>
      <c r="N24" s="53">
        <v>0.502</v>
      </c>
      <c r="O24" s="54">
        <v>1</v>
      </c>
    </row>
    <row r="25" spans="1:15" x14ac:dyDescent="0.2">
      <c r="A25" s="22" t="s">
        <v>119</v>
      </c>
      <c r="B25" s="23" t="s">
        <v>32</v>
      </c>
      <c r="C25" s="23" t="s">
        <v>24</v>
      </c>
      <c r="D25" s="1" t="str">
        <f>LEFT(I25,6)</f>
        <v>0.2280</v>
      </c>
      <c r="E25" s="1"/>
      <c r="F25" s="1"/>
      <c r="G25" s="1"/>
      <c r="H25" s="1"/>
      <c r="I25" s="23" t="s">
        <v>112</v>
      </c>
      <c r="J25" s="23" t="s">
        <v>112</v>
      </c>
      <c r="K25" s="23" t="s">
        <v>61</v>
      </c>
      <c r="L25" s="23" t="s">
        <v>113</v>
      </c>
      <c r="M25" s="23" t="s">
        <v>11</v>
      </c>
      <c r="N25" s="23">
        <v>0.67800000000000005</v>
      </c>
      <c r="O25" s="24">
        <v>1</v>
      </c>
    </row>
    <row r="26" spans="1:15" x14ac:dyDescent="0.2">
      <c r="A26" s="22" t="s">
        <v>119</v>
      </c>
      <c r="B26" s="23" t="s">
        <v>32</v>
      </c>
      <c r="C26" s="23" t="s">
        <v>27</v>
      </c>
      <c r="D26" s="1" t="str">
        <f>LEFT(I26,6)</f>
        <v>0.2799</v>
      </c>
      <c r="E26" s="1"/>
      <c r="F26" s="1"/>
      <c r="G26" s="1"/>
      <c r="H26" s="1"/>
      <c r="I26" s="23" t="s">
        <v>114</v>
      </c>
      <c r="J26" s="23" t="s">
        <v>115</v>
      </c>
      <c r="K26" s="23" t="s">
        <v>116</v>
      </c>
      <c r="L26" s="23" t="s">
        <v>117</v>
      </c>
      <c r="M26" s="23" t="s">
        <v>118</v>
      </c>
      <c r="N26" s="23">
        <v>0.193</v>
      </c>
      <c r="O26" s="24">
        <v>1</v>
      </c>
    </row>
    <row r="27" spans="1:15" x14ac:dyDescent="0.2">
      <c r="A27" s="25" t="s">
        <v>135</v>
      </c>
      <c r="B27" s="26" t="s">
        <v>32</v>
      </c>
      <c r="C27" s="26" t="s">
        <v>8</v>
      </c>
      <c r="D27" s="1" t="str">
        <f>LEFT(I27,6)</f>
        <v>0.7740</v>
      </c>
      <c r="E27" s="1"/>
      <c r="F27" s="1"/>
      <c r="G27" s="1"/>
      <c r="H27" s="1"/>
      <c r="I27" s="26" t="s">
        <v>120</v>
      </c>
      <c r="J27" s="26" t="s">
        <v>10</v>
      </c>
      <c r="K27" s="26" t="s">
        <v>10</v>
      </c>
      <c r="L27" s="26" t="s">
        <v>10</v>
      </c>
      <c r="M27" s="26" t="s">
        <v>11</v>
      </c>
      <c r="N27" s="26">
        <v>0.55169999999999997</v>
      </c>
      <c r="O27" s="27">
        <v>0.55000000000000004</v>
      </c>
    </row>
    <row r="28" spans="1:15" x14ac:dyDescent="0.2">
      <c r="A28" s="25" t="s">
        <v>135</v>
      </c>
      <c r="B28" s="26" t="s">
        <v>32</v>
      </c>
      <c r="C28" s="26" t="s">
        <v>12</v>
      </c>
      <c r="D28" s="1" t="str">
        <f>LEFT(I28,6)</f>
        <v>0.7357</v>
      </c>
      <c r="E28" s="1"/>
      <c r="F28" s="1"/>
      <c r="G28" s="1"/>
      <c r="H28" s="1"/>
      <c r="I28" s="26" t="s">
        <v>121</v>
      </c>
      <c r="J28" s="26" t="s">
        <v>10</v>
      </c>
      <c r="K28" s="26" t="s">
        <v>10</v>
      </c>
      <c r="L28" s="26" t="s">
        <v>10</v>
      </c>
      <c r="M28" s="26" t="s">
        <v>122</v>
      </c>
      <c r="N28" s="26">
        <v>0.7218</v>
      </c>
      <c r="O28" s="27">
        <v>1</v>
      </c>
    </row>
    <row r="29" spans="1:15" x14ac:dyDescent="0.2">
      <c r="A29" s="52" t="s">
        <v>135</v>
      </c>
      <c r="B29" s="53" t="s">
        <v>32</v>
      </c>
      <c r="C29" s="53" t="s">
        <v>18</v>
      </c>
      <c r="D29" s="53" t="str">
        <f>LEFT(I29,6)</f>
        <v>0.6959</v>
      </c>
      <c r="E29" s="53" t="str">
        <f>LEFT(J29,6)</f>
        <v>0.2837</v>
      </c>
      <c r="F29" s="53" t="str">
        <f>LEFT(K29,6)</f>
        <v>0.2228</v>
      </c>
      <c r="G29" s="53" t="str">
        <f>LEFT(L29,6)</f>
        <v>0.2461</v>
      </c>
      <c r="H29" s="53" t="str">
        <f>LEFT(M29,6)</f>
        <v>0.8311</v>
      </c>
      <c r="I29" s="53" t="s">
        <v>123</v>
      </c>
      <c r="J29" s="53" t="s">
        <v>124</v>
      </c>
      <c r="K29" s="53" t="s">
        <v>125</v>
      </c>
      <c r="L29" s="53" t="s">
        <v>126</v>
      </c>
      <c r="M29" s="53" t="s">
        <v>127</v>
      </c>
      <c r="N29" s="53">
        <v>0.57840000000000003</v>
      </c>
      <c r="O29" s="54">
        <v>1</v>
      </c>
    </row>
    <row r="30" spans="1:15" x14ac:dyDescent="0.2">
      <c r="A30" s="25" t="s">
        <v>135</v>
      </c>
      <c r="B30" s="26" t="s">
        <v>32</v>
      </c>
      <c r="C30" s="26" t="s">
        <v>24</v>
      </c>
      <c r="D30" s="1" t="str">
        <f>LEFT(I30,6)</f>
        <v>0.6194</v>
      </c>
      <c r="E30" s="1"/>
      <c r="F30" s="1"/>
      <c r="G30" s="1"/>
      <c r="H30" s="1"/>
      <c r="I30" s="26" t="s">
        <v>128</v>
      </c>
      <c r="J30" s="26" t="s">
        <v>129</v>
      </c>
      <c r="K30" s="26" t="s">
        <v>130</v>
      </c>
      <c r="L30" s="26" t="s">
        <v>131</v>
      </c>
      <c r="M30" s="26" t="s">
        <v>132</v>
      </c>
      <c r="N30" s="26">
        <v>0.56030000000000002</v>
      </c>
      <c r="O30" s="27">
        <v>0.97499999999999998</v>
      </c>
    </row>
    <row r="31" spans="1:15" x14ac:dyDescent="0.2">
      <c r="A31" s="25" t="s">
        <v>135</v>
      </c>
      <c r="B31" s="26" t="s">
        <v>32</v>
      </c>
      <c r="C31" s="26" t="s">
        <v>27</v>
      </c>
      <c r="D31" s="1" t="str">
        <f>LEFT(I31,6)</f>
        <v>0.2285</v>
      </c>
      <c r="E31" s="1"/>
      <c r="F31" s="1"/>
      <c r="G31" s="1"/>
      <c r="H31" s="1"/>
      <c r="I31" s="26" t="s">
        <v>133</v>
      </c>
      <c r="J31" s="26" t="s">
        <v>133</v>
      </c>
      <c r="K31" s="26" t="s">
        <v>61</v>
      </c>
      <c r="L31" s="26" t="s">
        <v>134</v>
      </c>
      <c r="M31" s="26" t="s">
        <v>11</v>
      </c>
      <c r="N31" s="26">
        <v>0.63139999999999996</v>
      </c>
      <c r="O31" s="27">
        <v>0.47499999999999998</v>
      </c>
    </row>
    <row r="32" spans="1:15" x14ac:dyDescent="0.2">
      <c r="A32" s="52" t="s">
        <v>160</v>
      </c>
      <c r="B32" s="53" t="s">
        <v>32</v>
      </c>
      <c r="C32" s="53" t="s">
        <v>8</v>
      </c>
      <c r="D32" s="53" t="str">
        <f>LEFT(I32,6)</f>
        <v>0.8982</v>
      </c>
      <c r="E32" s="53" t="str">
        <f>LEFT(J32,6)</f>
        <v>0.7075</v>
      </c>
      <c r="F32" s="53" t="str">
        <f>LEFT(K32,6)</f>
        <v>0.9439</v>
      </c>
      <c r="G32" s="53" t="str">
        <f>LEFT(L32,6)</f>
        <v>0.8063</v>
      </c>
      <c r="H32" s="53" t="str">
        <f>LEFT(M32,6)</f>
        <v>0.9294</v>
      </c>
      <c r="I32" s="53" t="s">
        <v>136</v>
      </c>
      <c r="J32" s="53" t="s">
        <v>137</v>
      </c>
      <c r="K32" s="53" t="s">
        <v>138</v>
      </c>
      <c r="L32" s="53" t="s">
        <v>139</v>
      </c>
      <c r="M32" s="53" t="s">
        <v>140</v>
      </c>
      <c r="N32" s="53">
        <v>0.55010000000000003</v>
      </c>
      <c r="O32" s="54">
        <v>0.67500000000000004</v>
      </c>
    </row>
    <row r="33" spans="1:15" x14ac:dyDescent="0.2">
      <c r="A33" s="28" t="s">
        <v>160</v>
      </c>
      <c r="B33" s="29" t="s">
        <v>32</v>
      </c>
      <c r="C33" s="29" t="s">
        <v>12</v>
      </c>
      <c r="D33" s="1" t="str">
        <f>LEFT(I33,6)</f>
        <v>0.8862</v>
      </c>
      <c r="E33" s="1"/>
      <c r="F33" s="1"/>
      <c r="G33" s="1"/>
      <c r="H33" s="1"/>
      <c r="I33" s="29" t="s">
        <v>141</v>
      </c>
      <c r="J33" s="29" t="s">
        <v>142</v>
      </c>
      <c r="K33" s="29" t="s">
        <v>61</v>
      </c>
      <c r="L33" s="29" t="s">
        <v>143</v>
      </c>
      <c r="M33" s="29" t="s">
        <v>144</v>
      </c>
      <c r="N33" s="29">
        <v>0.33040000000000003</v>
      </c>
      <c r="O33" s="30">
        <v>0.75</v>
      </c>
    </row>
    <row r="34" spans="1:15" x14ac:dyDescent="0.2">
      <c r="A34" s="28" t="s">
        <v>160</v>
      </c>
      <c r="B34" s="29" t="s">
        <v>32</v>
      </c>
      <c r="C34" s="29" t="s">
        <v>18</v>
      </c>
      <c r="D34" s="1" t="str">
        <f>LEFT(I34,6)</f>
        <v>0.8501</v>
      </c>
      <c r="E34" s="1"/>
      <c r="F34" s="1"/>
      <c r="G34" s="1"/>
      <c r="H34" s="1"/>
      <c r="I34" s="29" t="s">
        <v>145</v>
      </c>
      <c r="J34" s="29" t="s">
        <v>146</v>
      </c>
      <c r="K34" s="29" t="s">
        <v>147</v>
      </c>
      <c r="L34" s="29" t="s">
        <v>148</v>
      </c>
      <c r="M34" s="29" t="s">
        <v>149</v>
      </c>
      <c r="N34" s="29">
        <v>0.35470000000000002</v>
      </c>
      <c r="O34" s="30">
        <v>0.75</v>
      </c>
    </row>
    <row r="35" spans="1:15" x14ac:dyDescent="0.2">
      <c r="A35" s="28" t="s">
        <v>160</v>
      </c>
      <c r="B35" s="29" t="s">
        <v>32</v>
      </c>
      <c r="C35" s="29" t="s">
        <v>24</v>
      </c>
      <c r="D35" s="1" t="str">
        <f>LEFT(I35,6)</f>
        <v>0.8871</v>
      </c>
      <c r="E35" s="1"/>
      <c r="F35" s="1"/>
      <c r="G35" s="1"/>
      <c r="H35" s="1"/>
      <c r="I35" s="29" t="s">
        <v>150</v>
      </c>
      <c r="J35" s="29" t="s">
        <v>151</v>
      </c>
      <c r="K35" s="29" t="s">
        <v>152</v>
      </c>
      <c r="L35" s="29" t="s">
        <v>153</v>
      </c>
      <c r="M35" s="29" t="s">
        <v>154</v>
      </c>
      <c r="N35" s="29">
        <v>0.39329999999999998</v>
      </c>
      <c r="O35" s="30">
        <v>0.75</v>
      </c>
    </row>
    <row r="36" spans="1:15" ht="17" thickBot="1" x14ac:dyDescent="0.25">
      <c r="A36" s="31" t="s">
        <v>160</v>
      </c>
      <c r="B36" s="32" t="s">
        <v>32</v>
      </c>
      <c r="C36" s="32" t="s">
        <v>27</v>
      </c>
      <c r="D36" s="1" t="str">
        <f>LEFT(I36,6)</f>
        <v>0.8986</v>
      </c>
      <c r="E36" s="1"/>
      <c r="F36" s="1"/>
      <c r="G36" s="1"/>
      <c r="H36" s="1"/>
      <c r="I36" s="32" t="s">
        <v>155</v>
      </c>
      <c r="J36" s="32" t="s">
        <v>156</v>
      </c>
      <c r="K36" s="32" t="s">
        <v>157</v>
      </c>
      <c r="L36" s="32" t="s">
        <v>158</v>
      </c>
      <c r="M36" s="32" t="s">
        <v>159</v>
      </c>
      <c r="N36" s="32">
        <v>0.56430000000000002</v>
      </c>
      <c r="O36" s="33">
        <v>0.75</v>
      </c>
    </row>
    <row r="37" spans="1:15" x14ac:dyDescent="0.2">
      <c r="A37" s="34" t="s">
        <v>31</v>
      </c>
      <c r="B37" s="35" t="s">
        <v>203</v>
      </c>
      <c r="C37" s="35" t="s">
        <v>8</v>
      </c>
      <c r="D37" s="1" t="str">
        <f>LEFT(I37,6)</f>
        <v>0.4576</v>
      </c>
      <c r="E37" s="1"/>
      <c r="F37" s="1"/>
      <c r="G37" s="1"/>
      <c r="H37" s="1"/>
      <c r="I37" s="35" t="s">
        <v>161</v>
      </c>
      <c r="J37" s="35" t="s">
        <v>10</v>
      </c>
      <c r="K37" s="35" t="s">
        <v>10</v>
      </c>
      <c r="L37" s="35" t="s">
        <v>10</v>
      </c>
      <c r="M37" s="35" t="s">
        <v>11</v>
      </c>
      <c r="N37" s="35"/>
      <c r="O37" s="36"/>
    </row>
    <row r="38" spans="1:15" x14ac:dyDescent="0.2">
      <c r="A38" s="52" t="s">
        <v>31</v>
      </c>
      <c r="B38" s="53" t="s">
        <v>203</v>
      </c>
      <c r="C38" s="53" t="s">
        <v>12</v>
      </c>
      <c r="D38" s="53" t="str">
        <f>LEFT(I38,6)</f>
        <v>0.8445</v>
      </c>
      <c r="E38" s="53" t="str">
        <f>LEFT(J38,6)</f>
        <v>0.9153</v>
      </c>
      <c r="F38" s="53" t="str">
        <f>LEFT(K38,6)</f>
        <v>0.7859</v>
      </c>
      <c r="G38" s="53" t="str">
        <f>LEFT(L38,6)</f>
        <v>0.8456</v>
      </c>
      <c r="H38" s="53" t="str">
        <f>LEFT(M38,6)</f>
        <v>0.8900</v>
      </c>
      <c r="I38" s="53" t="s">
        <v>162</v>
      </c>
      <c r="J38" s="53" t="s">
        <v>163</v>
      </c>
      <c r="K38" s="53" t="s">
        <v>164</v>
      </c>
      <c r="L38" s="53" t="s">
        <v>165</v>
      </c>
      <c r="M38" s="53" t="s">
        <v>166</v>
      </c>
      <c r="N38" s="53"/>
      <c r="O38" s="54"/>
    </row>
    <row r="39" spans="1:15" x14ac:dyDescent="0.2">
      <c r="A39" s="37" t="s">
        <v>31</v>
      </c>
      <c r="B39" s="38" t="s">
        <v>203</v>
      </c>
      <c r="C39" s="38" t="s">
        <v>18</v>
      </c>
      <c r="D39" s="1" t="str">
        <f>LEFT(I39,6)</f>
        <v>0.8336</v>
      </c>
      <c r="E39" s="1"/>
      <c r="F39" s="1"/>
      <c r="G39" s="1"/>
      <c r="H39" s="1"/>
      <c r="I39" s="38" t="s">
        <v>167</v>
      </c>
      <c r="J39" s="38" t="s">
        <v>168</v>
      </c>
      <c r="K39" s="38" t="s">
        <v>169</v>
      </c>
      <c r="L39" s="38" t="s">
        <v>170</v>
      </c>
      <c r="M39" s="38" t="s">
        <v>171</v>
      </c>
      <c r="N39" s="38"/>
      <c r="O39" s="39"/>
    </row>
    <row r="40" spans="1:15" x14ac:dyDescent="0.2">
      <c r="A40" s="37" t="s">
        <v>31</v>
      </c>
      <c r="B40" s="38" t="s">
        <v>203</v>
      </c>
      <c r="C40" s="38" t="s">
        <v>24</v>
      </c>
      <c r="D40" s="1" t="str">
        <f>LEFT(I40,6)</f>
        <v>0.8310</v>
      </c>
      <c r="E40" s="1"/>
      <c r="F40" s="1"/>
      <c r="G40" s="1"/>
      <c r="H40" s="1"/>
      <c r="I40" s="38" t="s">
        <v>172</v>
      </c>
      <c r="J40" s="38" t="s">
        <v>173</v>
      </c>
      <c r="K40" s="38" t="s">
        <v>174</v>
      </c>
      <c r="L40" s="38" t="s">
        <v>175</v>
      </c>
      <c r="M40" s="38" t="s">
        <v>176</v>
      </c>
      <c r="N40" s="38"/>
      <c r="O40" s="39"/>
    </row>
    <row r="41" spans="1:15" x14ac:dyDescent="0.2">
      <c r="A41" s="37" t="s">
        <v>31</v>
      </c>
      <c r="B41" s="38" t="s">
        <v>203</v>
      </c>
      <c r="C41" s="38" t="s">
        <v>27</v>
      </c>
      <c r="D41" s="1" t="str">
        <f>LEFT(I41,6)</f>
        <v>0.4577</v>
      </c>
      <c r="E41" s="1"/>
      <c r="F41" s="1"/>
      <c r="G41" s="1"/>
      <c r="H41" s="1"/>
      <c r="I41" s="38" t="s">
        <v>177</v>
      </c>
      <c r="J41" s="38" t="s">
        <v>10</v>
      </c>
      <c r="K41" s="38" t="s">
        <v>10</v>
      </c>
      <c r="L41" s="38" t="s">
        <v>10</v>
      </c>
      <c r="M41" s="38" t="s">
        <v>11</v>
      </c>
      <c r="N41" s="38"/>
      <c r="O41" s="39"/>
    </row>
    <row r="42" spans="1:15" x14ac:dyDescent="0.2">
      <c r="A42" s="22" t="s">
        <v>58</v>
      </c>
      <c r="B42" s="23" t="s">
        <v>203</v>
      </c>
      <c r="C42" s="23" t="s">
        <v>8</v>
      </c>
      <c r="D42" s="1" t="str">
        <f>LEFT(I42,6)</f>
        <v>0.7961</v>
      </c>
      <c r="E42" s="1"/>
      <c r="F42" s="1"/>
      <c r="G42" s="1"/>
      <c r="H42" s="1"/>
      <c r="I42" s="23" t="s">
        <v>178</v>
      </c>
      <c r="J42" s="23" t="s">
        <v>179</v>
      </c>
      <c r="K42" s="23" t="s">
        <v>180</v>
      </c>
      <c r="L42" s="23" t="s">
        <v>181</v>
      </c>
      <c r="M42" s="23" t="s">
        <v>182</v>
      </c>
      <c r="N42" s="23"/>
      <c r="O42" s="24"/>
    </row>
    <row r="43" spans="1:15" x14ac:dyDescent="0.2">
      <c r="A43" s="22" t="s">
        <v>58</v>
      </c>
      <c r="B43" s="23" t="s">
        <v>203</v>
      </c>
      <c r="C43" s="23" t="s">
        <v>12</v>
      </c>
      <c r="D43" s="1" t="str">
        <f>LEFT(I43,6)</f>
        <v>0.6345</v>
      </c>
      <c r="E43" s="1"/>
      <c r="F43" s="1"/>
      <c r="G43" s="1"/>
      <c r="H43" s="1"/>
      <c r="I43" s="23" t="s">
        <v>183</v>
      </c>
      <c r="J43" s="23" t="s">
        <v>184</v>
      </c>
      <c r="K43" s="23" t="s">
        <v>185</v>
      </c>
      <c r="L43" s="23" t="s">
        <v>186</v>
      </c>
      <c r="M43" s="23" t="s">
        <v>187</v>
      </c>
      <c r="N43" s="23"/>
      <c r="O43" s="24"/>
    </row>
    <row r="44" spans="1:15" x14ac:dyDescent="0.2">
      <c r="A44" s="22" t="s">
        <v>58</v>
      </c>
      <c r="B44" s="23" t="s">
        <v>203</v>
      </c>
      <c r="C44" s="23" t="s">
        <v>18</v>
      </c>
      <c r="D44" s="1" t="str">
        <f>LEFT(I44,6)</f>
        <v>0.6575</v>
      </c>
      <c r="E44" s="1"/>
      <c r="F44" s="1"/>
      <c r="G44" s="1"/>
      <c r="H44" s="1"/>
      <c r="I44" s="23" t="s">
        <v>188</v>
      </c>
      <c r="J44" s="23" t="s">
        <v>189</v>
      </c>
      <c r="K44" s="23" t="s">
        <v>190</v>
      </c>
      <c r="L44" s="23" t="s">
        <v>191</v>
      </c>
      <c r="M44" s="23" t="s">
        <v>192</v>
      </c>
      <c r="N44" s="23"/>
      <c r="O44" s="24"/>
    </row>
    <row r="45" spans="1:15" x14ac:dyDescent="0.2">
      <c r="A45" s="22" t="s">
        <v>58</v>
      </c>
      <c r="B45" s="23" t="s">
        <v>203</v>
      </c>
      <c r="C45" s="23" t="s">
        <v>24</v>
      </c>
      <c r="D45" s="1" t="str">
        <f>LEFT(I45,6)</f>
        <v>0.5046</v>
      </c>
      <c r="E45" s="1"/>
      <c r="F45" s="1"/>
      <c r="G45" s="1"/>
      <c r="H45" s="1"/>
      <c r="I45" s="23" t="s">
        <v>193</v>
      </c>
      <c r="J45" s="23" t="s">
        <v>194</v>
      </c>
      <c r="K45" s="23" t="s">
        <v>195</v>
      </c>
      <c r="L45" s="23" t="s">
        <v>196</v>
      </c>
      <c r="M45" s="23" t="s">
        <v>197</v>
      </c>
      <c r="N45" s="23"/>
      <c r="O45" s="24"/>
    </row>
    <row r="46" spans="1:15" x14ac:dyDescent="0.2">
      <c r="A46" s="52" t="s">
        <v>58</v>
      </c>
      <c r="B46" s="53" t="s">
        <v>203</v>
      </c>
      <c r="C46" s="53" t="s">
        <v>27</v>
      </c>
      <c r="D46" s="1" t="str">
        <f>LEFT(I46,6)</f>
        <v>0.6080</v>
      </c>
      <c r="E46" s="1"/>
      <c r="F46" s="1"/>
      <c r="G46" s="1"/>
      <c r="H46" s="1"/>
      <c r="I46" s="53" t="s">
        <v>198</v>
      </c>
      <c r="J46" s="53" t="s">
        <v>199</v>
      </c>
      <c r="K46" s="53" t="s">
        <v>200</v>
      </c>
      <c r="L46" s="53" t="s">
        <v>201</v>
      </c>
      <c r="M46" s="53" t="s">
        <v>202</v>
      </c>
      <c r="N46" s="53"/>
      <c r="O46" s="54"/>
    </row>
    <row r="47" spans="1:15" x14ac:dyDescent="0.2">
      <c r="A47" s="52" t="s">
        <v>82</v>
      </c>
      <c r="B47" s="53" t="s">
        <v>203</v>
      </c>
      <c r="C47" s="53" t="s">
        <v>8</v>
      </c>
      <c r="D47" s="53" t="str">
        <f>LEFT(I47,6)</f>
        <v>0.8046</v>
      </c>
      <c r="E47" s="53" t="str">
        <f>LEFT(J47,6)</f>
        <v>0.8340</v>
      </c>
      <c r="F47" s="53" t="str">
        <f>LEFT(K47,6)</f>
        <v>0.7987</v>
      </c>
      <c r="G47" s="53" t="str">
        <f>LEFT(L47,6)</f>
        <v>0.8159</v>
      </c>
      <c r="H47" s="53" t="str">
        <f>LEFT(M47,6)</f>
        <v>0.8778</v>
      </c>
      <c r="I47" s="53" t="s">
        <v>204</v>
      </c>
      <c r="J47" s="53" t="s">
        <v>205</v>
      </c>
      <c r="K47" s="53" t="s">
        <v>206</v>
      </c>
      <c r="L47" s="53" t="s">
        <v>207</v>
      </c>
      <c r="M47" s="53" t="s">
        <v>208</v>
      </c>
      <c r="N47" s="53"/>
      <c r="O47" s="54"/>
    </row>
    <row r="48" spans="1:15" x14ac:dyDescent="0.2">
      <c r="A48" s="40" t="s">
        <v>82</v>
      </c>
      <c r="B48" s="41" t="s">
        <v>203</v>
      </c>
      <c r="C48" s="41" t="s">
        <v>12</v>
      </c>
      <c r="D48" s="1" t="str">
        <f>LEFT(I48,6)</f>
        <v>0.8100</v>
      </c>
      <c r="E48" s="1"/>
      <c r="F48" s="1"/>
      <c r="G48" s="1"/>
      <c r="H48" s="1"/>
      <c r="I48" s="41" t="s">
        <v>209</v>
      </c>
      <c r="J48" s="41" t="s">
        <v>210</v>
      </c>
      <c r="K48" s="41" t="s">
        <v>211</v>
      </c>
      <c r="L48" s="41" t="s">
        <v>212</v>
      </c>
      <c r="M48" s="41" t="s">
        <v>213</v>
      </c>
      <c r="N48" s="41"/>
      <c r="O48" s="42"/>
    </row>
    <row r="49" spans="1:15" x14ac:dyDescent="0.2">
      <c r="A49" s="40" t="s">
        <v>82</v>
      </c>
      <c r="B49" s="41" t="s">
        <v>203</v>
      </c>
      <c r="C49" s="41" t="s">
        <v>18</v>
      </c>
      <c r="D49" s="1" t="str">
        <f>LEFT(I49,6)</f>
        <v>0.8116</v>
      </c>
      <c r="E49" s="1"/>
      <c r="F49" s="1"/>
      <c r="G49" s="1"/>
      <c r="H49" s="1"/>
      <c r="I49" s="41" t="s">
        <v>214</v>
      </c>
      <c r="J49" s="41" t="s">
        <v>215</v>
      </c>
      <c r="K49" s="41" t="s">
        <v>216</v>
      </c>
      <c r="L49" s="41" t="s">
        <v>217</v>
      </c>
      <c r="M49" s="41" t="s">
        <v>218</v>
      </c>
      <c r="N49" s="41"/>
      <c r="O49" s="42"/>
    </row>
    <row r="50" spans="1:15" x14ac:dyDescent="0.2">
      <c r="A50" s="40" t="s">
        <v>82</v>
      </c>
      <c r="B50" s="41" t="s">
        <v>203</v>
      </c>
      <c r="C50" s="41" t="s">
        <v>24</v>
      </c>
      <c r="D50" s="1" t="str">
        <f>LEFT(I50,6)</f>
        <v>0.8112</v>
      </c>
      <c r="E50" s="1"/>
      <c r="F50" s="1"/>
      <c r="G50" s="1"/>
      <c r="H50" s="1"/>
      <c r="I50" s="41" t="s">
        <v>219</v>
      </c>
      <c r="J50" s="41" t="s">
        <v>220</v>
      </c>
      <c r="K50" s="41" t="s">
        <v>221</v>
      </c>
      <c r="L50" s="41" t="s">
        <v>222</v>
      </c>
      <c r="M50" s="41" t="s">
        <v>223</v>
      </c>
      <c r="N50" s="41"/>
      <c r="O50" s="42"/>
    </row>
    <row r="51" spans="1:15" x14ac:dyDescent="0.2">
      <c r="A51" s="40" t="s">
        <v>82</v>
      </c>
      <c r="B51" s="41" t="s">
        <v>203</v>
      </c>
      <c r="C51" s="41" t="s">
        <v>27</v>
      </c>
      <c r="D51" s="1" t="str">
        <f>LEFT(I51,6)</f>
        <v>0.8281</v>
      </c>
      <c r="E51" s="1"/>
      <c r="F51" s="1"/>
      <c r="G51" s="1"/>
      <c r="H51" s="1"/>
      <c r="I51" s="41" t="s">
        <v>224</v>
      </c>
      <c r="J51" s="41" t="s">
        <v>225</v>
      </c>
      <c r="K51" s="41" t="s">
        <v>226</v>
      </c>
      <c r="L51" s="41" t="s">
        <v>227</v>
      </c>
      <c r="M51" s="41" t="s">
        <v>228</v>
      </c>
      <c r="N51" s="41"/>
      <c r="O51" s="42"/>
    </row>
    <row r="52" spans="1:15" x14ac:dyDescent="0.2">
      <c r="A52" s="10" t="s">
        <v>99</v>
      </c>
      <c r="B52" s="11" t="s">
        <v>203</v>
      </c>
      <c r="C52" s="11" t="s">
        <v>8</v>
      </c>
      <c r="D52" s="1" t="str">
        <f>LEFT(I52,6)</f>
        <v>0.2297</v>
      </c>
      <c r="E52" s="1"/>
      <c r="F52" s="1"/>
      <c r="G52" s="1"/>
      <c r="H52" s="1"/>
      <c r="I52" s="11" t="s">
        <v>229</v>
      </c>
      <c r="J52" s="11" t="s">
        <v>229</v>
      </c>
      <c r="K52" s="11" t="s">
        <v>61</v>
      </c>
      <c r="L52" s="11" t="s">
        <v>230</v>
      </c>
      <c r="M52" s="11" t="s">
        <v>11</v>
      </c>
      <c r="N52" s="11"/>
      <c r="O52" s="12"/>
    </row>
    <row r="53" spans="1:15" x14ac:dyDescent="0.2">
      <c r="A53" s="10" t="s">
        <v>99</v>
      </c>
      <c r="B53" s="11" t="s">
        <v>203</v>
      </c>
      <c r="C53" s="11" t="s">
        <v>12</v>
      </c>
      <c r="D53" s="1" t="str">
        <f>LEFT(I53,6)</f>
        <v>0.2146</v>
      </c>
      <c r="E53" s="1"/>
      <c r="F53" s="1"/>
      <c r="G53" s="1"/>
      <c r="H53" s="1"/>
      <c r="I53" s="11" t="s">
        <v>231</v>
      </c>
      <c r="J53" s="11" t="s">
        <v>232</v>
      </c>
      <c r="K53" s="11" t="s">
        <v>233</v>
      </c>
      <c r="L53" s="11" t="s">
        <v>234</v>
      </c>
      <c r="M53" s="11" t="s">
        <v>235</v>
      </c>
      <c r="N53" s="11"/>
      <c r="O53" s="12"/>
    </row>
    <row r="54" spans="1:15" x14ac:dyDescent="0.2">
      <c r="A54" s="52" t="s">
        <v>99</v>
      </c>
      <c r="B54" s="53" t="s">
        <v>203</v>
      </c>
      <c r="C54" s="53" t="s">
        <v>18</v>
      </c>
      <c r="D54" s="1" t="str">
        <f>LEFT(I54,6)</f>
        <v>0.6954</v>
      </c>
      <c r="E54" s="1"/>
      <c r="F54" s="1"/>
      <c r="G54" s="1"/>
      <c r="H54" s="1"/>
      <c r="I54" s="53" t="s">
        <v>236</v>
      </c>
      <c r="J54" s="53" t="s">
        <v>237</v>
      </c>
      <c r="K54" s="53" t="s">
        <v>238</v>
      </c>
      <c r="L54" s="53" t="s">
        <v>239</v>
      </c>
      <c r="M54" s="53" t="s">
        <v>240</v>
      </c>
      <c r="N54" s="53"/>
      <c r="O54" s="54"/>
    </row>
    <row r="55" spans="1:15" x14ac:dyDescent="0.2">
      <c r="A55" s="10" t="s">
        <v>99</v>
      </c>
      <c r="B55" s="11" t="s">
        <v>203</v>
      </c>
      <c r="C55" s="11" t="s">
        <v>24</v>
      </c>
      <c r="D55" s="1" t="str">
        <f>LEFT(I55,6)</f>
        <v>0.2267</v>
      </c>
      <c r="E55" s="1"/>
      <c r="F55" s="1"/>
      <c r="G55" s="1"/>
      <c r="H55" s="1"/>
      <c r="I55" s="11" t="s">
        <v>241</v>
      </c>
      <c r="J55" s="11" t="s">
        <v>241</v>
      </c>
      <c r="K55" s="11" t="s">
        <v>61</v>
      </c>
      <c r="L55" s="11" t="s">
        <v>242</v>
      </c>
      <c r="M55" s="11" t="s">
        <v>243</v>
      </c>
      <c r="N55" s="11"/>
      <c r="O55" s="12"/>
    </row>
    <row r="56" spans="1:15" x14ac:dyDescent="0.2">
      <c r="A56" s="10" t="s">
        <v>99</v>
      </c>
      <c r="B56" s="11" t="s">
        <v>203</v>
      </c>
      <c r="C56" s="11" t="s">
        <v>27</v>
      </c>
      <c r="D56" s="1" t="str">
        <f>LEFT(I56,6)</f>
        <v>0.2265</v>
      </c>
      <c r="E56" s="1"/>
      <c r="F56" s="1"/>
      <c r="G56" s="1"/>
      <c r="H56" s="1"/>
      <c r="I56" s="11" t="s">
        <v>244</v>
      </c>
      <c r="J56" s="11" t="s">
        <v>244</v>
      </c>
      <c r="K56" s="11" t="s">
        <v>61</v>
      </c>
      <c r="L56" s="11" t="s">
        <v>242</v>
      </c>
      <c r="M56" s="11" t="s">
        <v>11</v>
      </c>
      <c r="N56" s="11"/>
      <c r="O56" s="12"/>
    </row>
    <row r="57" spans="1:15" x14ac:dyDescent="0.2">
      <c r="A57" s="25" t="s">
        <v>119</v>
      </c>
      <c r="B57" s="26" t="s">
        <v>203</v>
      </c>
      <c r="C57" s="26" t="s">
        <v>8</v>
      </c>
      <c r="D57" s="1" t="str">
        <f>LEFT(I57,6)</f>
        <v>0.2651</v>
      </c>
      <c r="E57" s="1"/>
      <c r="F57" s="1"/>
      <c r="G57" s="1"/>
      <c r="H57" s="1"/>
      <c r="I57" s="26" t="s">
        <v>245</v>
      </c>
      <c r="J57" s="26" t="s">
        <v>246</v>
      </c>
      <c r="K57" s="26" t="s">
        <v>247</v>
      </c>
      <c r="L57" s="26" t="s">
        <v>248</v>
      </c>
      <c r="M57" s="26" t="s">
        <v>249</v>
      </c>
      <c r="N57" s="26"/>
      <c r="O57" s="27"/>
    </row>
    <row r="58" spans="1:15" x14ac:dyDescent="0.2">
      <c r="A58" s="52" t="s">
        <v>119</v>
      </c>
      <c r="B58" s="53" t="s">
        <v>203</v>
      </c>
      <c r="C58" s="53" t="s">
        <v>12</v>
      </c>
      <c r="D58" s="1" t="str">
        <f>LEFT(I58,6)</f>
        <v>0.2292</v>
      </c>
      <c r="E58" s="1"/>
      <c r="F58" s="1"/>
      <c r="G58" s="1"/>
      <c r="H58" s="1"/>
      <c r="I58" s="53" t="s">
        <v>250</v>
      </c>
      <c r="J58" s="53" t="s">
        <v>250</v>
      </c>
      <c r="K58" s="53" t="s">
        <v>61</v>
      </c>
      <c r="L58" s="53" t="s">
        <v>251</v>
      </c>
      <c r="M58" s="53" t="s">
        <v>252</v>
      </c>
      <c r="N58" s="53"/>
      <c r="O58" s="54"/>
    </row>
    <row r="59" spans="1:15" x14ac:dyDescent="0.2">
      <c r="A59" s="25" t="s">
        <v>119</v>
      </c>
      <c r="B59" s="26" t="s">
        <v>203</v>
      </c>
      <c r="C59" s="26" t="s">
        <v>18</v>
      </c>
      <c r="D59" s="1" t="str">
        <f>LEFT(I59,6)</f>
        <v>0.2275</v>
      </c>
      <c r="E59" s="1"/>
      <c r="F59" s="1"/>
      <c r="G59" s="1"/>
      <c r="H59" s="1"/>
      <c r="I59" s="26" t="s">
        <v>253</v>
      </c>
      <c r="J59" s="26" t="s">
        <v>253</v>
      </c>
      <c r="K59" s="26" t="s">
        <v>61</v>
      </c>
      <c r="L59" s="26" t="s">
        <v>254</v>
      </c>
      <c r="M59" s="26" t="s">
        <v>255</v>
      </c>
      <c r="N59" s="26"/>
      <c r="O59" s="27"/>
    </row>
    <row r="60" spans="1:15" x14ac:dyDescent="0.2">
      <c r="A60" s="25" t="s">
        <v>119</v>
      </c>
      <c r="B60" s="26" t="s">
        <v>203</v>
      </c>
      <c r="C60" s="26" t="s">
        <v>24</v>
      </c>
      <c r="D60" s="1" t="str">
        <f>LEFT(I60,6)</f>
        <v>0.2283</v>
      </c>
      <c r="E60" s="1"/>
      <c r="F60" s="1"/>
      <c r="G60" s="1"/>
      <c r="H60" s="1"/>
      <c r="I60" s="26" t="s">
        <v>256</v>
      </c>
      <c r="J60" s="26" t="s">
        <v>256</v>
      </c>
      <c r="K60" s="26" t="s">
        <v>61</v>
      </c>
      <c r="L60" s="26" t="s">
        <v>257</v>
      </c>
      <c r="M60" s="26" t="s">
        <v>11</v>
      </c>
      <c r="N60" s="26"/>
      <c r="O60" s="27"/>
    </row>
    <row r="61" spans="1:15" x14ac:dyDescent="0.2">
      <c r="A61" s="25" t="s">
        <v>119</v>
      </c>
      <c r="B61" s="26" t="s">
        <v>203</v>
      </c>
      <c r="C61" s="26" t="s">
        <v>27</v>
      </c>
      <c r="D61" s="1" t="str">
        <f>LEFT(I61,6)</f>
        <v>0.2799</v>
      </c>
      <c r="E61" s="1"/>
      <c r="F61" s="1"/>
      <c r="G61" s="1"/>
      <c r="H61" s="1"/>
      <c r="I61" s="26" t="s">
        <v>258</v>
      </c>
      <c r="J61" s="26" t="s">
        <v>259</v>
      </c>
      <c r="K61" s="26" t="s">
        <v>260</v>
      </c>
      <c r="L61" s="26" t="s">
        <v>261</v>
      </c>
      <c r="M61" s="26" t="s">
        <v>262</v>
      </c>
      <c r="N61" s="26"/>
      <c r="O61" s="27"/>
    </row>
    <row r="62" spans="1:15" x14ac:dyDescent="0.2">
      <c r="A62" s="43" t="s">
        <v>135</v>
      </c>
      <c r="B62" s="44" t="s">
        <v>203</v>
      </c>
      <c r="C62" s="44" t="s">
        <v>8</v>
      </c>
      <c r="D62" s="1" t="str">
        <f>LEFT(I62,6)</f>
        <v>0.4574</v>
      </c>
      <c r="E62" s="1"/>
      <c r="F62" s="1"/>
      <c r="G62" s="1"/>
      <c r="H62" s="1"/>
      <c r="I62" s="44" t="s">
        <v>288</v>
      </c>
      <c r="J62" s="44" t="s">
        <v>10</v>
      </c>
      <c r="K62" s="44" t="s">
        <v>10</v>
      </c>
      <c r="L62" s="44" t="s">
        <v>10</v>
      </c>
      <c r="M62" s="44" t="s">
        <v>11</v>
      </c>
      <c r="N62" s="44"/>
      <c r="O62" s="45"/>
    </row>
    <row r="63" spans="1:15" x14ac:dyDescent="0.2">
      <c r="A63" s="43" t="s">
        <v>135</v>
      </c>
      <c r="B63" s="44" t="s">
        <v>203</v>
      </c>
      <c r="C63" s="44" t="s">
        <v>12</v>
      </c>
      <c r="D63" s="1" t="str">
        <f>LEFT(I63,6)</f>
        <v>0.6850</v>
      </c>
      <c r="E63" s="1"/>
      <c r="F63" s="1"/>
      <c r="G63" s="1"/>
      <c r="H63" s="1"/>
      <c r="I63" s="44" t="s">
        <v>289</v>
      </c>
      <c r="J63" s="44" t="s">
        <v>290</v>
      </c>
      <c r="K63" s="44" t="s">
        <v>291</v>
      </c>
      <c r="L63" s="44" t="s">
        <v>292</v>
      </c>
      <c r="M63" s="44" t="s">
        <v>293</v>
      </c>
      <c r="N63" s="44"/>
      <c r="O63" s="45"/>
    </row>
    <row r="64" spans="1:15" x14ac:dyDescent="0.2">
      <c r="A64" s="52" t="s">
        <v>135</v>
      </c>
      <c r="B64" s="53" t="s">
        <v>203</v>
      </c>
      <c r="C64" s="53" t="s">
        <v>18</v>
      </c>
      <c r="D64" s="53" t="str">
        <f>LEFT(I64,6)</f>
        <v>0.7688</v>
      </c>
      <c r="E64" s="53" t="str">
        <f>LEFT(J64,6)</f>
        <v>0.7571</v>
      </c>
      <c r="F64" s="53" t="str">
        <f>LEFT(K64,6)</f>
        <v>0.8438</v>
      </c>
      <c r="G64" s="53" t="str">
        <f>LEFT(L64,6)</f>
        <v>0.7980</v>
      </c>
      <c r="H64" s="53" t="str">
        <f>LEFT(M64,6)</f>
        <v>0.8727</v>
      </c>
      <c r="I64" s="53" t="s">
        <v>294</v>
      </c>
      <c r="J64" s="53" t="s">
        <v>295</v>
      </c>
      <c r="K64" s="53" t="s">
        <v>296</v>
      </c>
      <c r="L64" s="53" t="s">
        <v>297</v>
      </c>
      <c r="M64" s="53" t="s">
        <v>298</v>
      </c>
      <c r="N64" s="53"/>
      <c r="O64" s="54"/>
    </row>
    <row r="65" spans="1:15" x14ac:dyDescent="0.2">
      <c r="A65" s="43" t="s">
        <v>135</v>
      </c>
      <c r="B65" s="44" t="s">
        <v>203</v>
      </c>
      <c r="C65" s="44" t="s">
        <v>24</v>
      </c>
      <c r="D65" s="1" t="str">
        <f>LEFT(I65,6)</f>
        <v>0.7231</v>
      </c>
      <c r="E65" s="1"/>
      <c r="F65" s="1"/>
      <c r="G65" s="1"/>
      <c r="H65" s="1"/>
      <c r="I65" s="44" t="s">
        <v>299</v>
      </c>
      <c r="J65" s="44" t="s">
        <v>300</v>
      </c>
      <c r="K65" s="44" t="s">
        <v>301</v>
      </c>
      <c r="L65" s="44" t="s">
        <v>302</v>
      </c>
      <c r="M65" s="44" t="s">
        <v>303</v>
      </c>
      <c r="N65" s="44"/>
      <c r="O65" s="45"/>
    </row>
    <row r="66" spans="1:15" x14ac:dyDescent="0.2">
      <c r="A66" s="43" t="s">
        <v>135</v>
      </c>
      <c r="B66" s="44" t="s">
        <v>203</v>
      </c>
      <c r="C66" s="44" t="s">
        <v>27</v>
      </c>
      <c r="D66" s="1" t="str">
        <f>LEFT(I66,6)</f>
        <v>0.5414</v>
      </c>
      <c r="E66" s="1"/>
      <c r="F66" s="1"/>
      <c r="G66" s="1"/>
      <c r="H66" s="1"/>
      <c r="I66" s="44" t="s">
        <v>304</v>
      </c>
      <c r="J66" s="44" t="s">
        <v>304</v>
      </c>
      <c r="K66" s="44" t="s">
        <v>61</v>
      </c>
      <c r="L66" s="44" t="s">
        <v>305</v>
      </c>
      <c r="M66" s="44" t="s">
        <v>11</v>
      </c>
      <c r="N66" s="44"/>
      <c r="O66" s="45"/>
    </row>
    <row r="67" spans="1:15" x14ac:dyDescent="0.2">
      <c r="A67" s="52" t="s">
        <v>160</v>
      </c>
      <c r="B67" s="53" t="s">
        <v>203</v>
      </c>
      <c r="C67" s="53" t="s">
        <v>8</v>
      </c>
      <c r="D67" s="53" t="str">
        <f>LEFT(I67,6)</f>
        <v>0.8419</v>
      </c>
      <c r="E67" s="53" t="str">
        <f>LEFT(J67,6)</f>
        <v>0.8745</v>
      </c>
      <c r="F67" s="53" t="str">
        <f>LEFT(K67,6)</f>
        <v>0.8253</v>
      </c>
      <c r="G67" s="53" t="str">
        <f>LEFT(L67,6)</f>
        <v>0.8491</v>
      </c>
      <c r="H67" s="53" t="str">
        <f>LEFT(M67,6)</f>
        <v>0.9331</v>
      </c>
      <c r="I67" s="53" t="s">
        <v>263</v>
      </c>
      <c r="J67" s="53" t="s">
        <v>264</v>
      </c>
      <c r="K67" s="53" t="s">
        <v>265</v>
      </c>
      <c r="L67" s="53" t="s">
        <v>266</v>
      </c>
      <c r="M67" s="53" t="s">
        <v>267</v>
      </c>
      <c r="N67" s="53"/>
      <c r="O67" s="54"/>
    </row>
    <row r="68" spans="1:15" x14ac:dyDescent="0.2">
      <c r="A68" s="46" t="s">
        <v>160</v>
      </c>
      <c r="B68" s="47" t="s">
        <v>203</v>
      </c>
      <c r="C68" s="47" t="s">
        <v>12</v>
      </c>
      <c r="D68" s="1" t="str">
        <f>LEFT(I68,6)</f>
        <v>0.8199</v>
      </c>
      <c r="E68" s="1"/>
      <c r="F68" s="1"/>
      <c r="G68" s="1"/>
      <c r="H68" s="1"/>
      <c r="I68" s="47" t="s">
        <v>268</v>
      </c>
      <c r="J68" s="47" t="s">
        <v>269</v>
      </c>
      <c r="K68" s="47" t="s">
        <v>270</v>
      </c>
      <c r="L68" s="47" t="s">
        <v>271</v>
      </c>
      <c r="M68" s="47" t="s">
        <v>272</v>
      </c>
      <c r="N68" s="47"/>
      <c r="O68" s="48"/>
    </row>
    <row r="69" spans="1:15" x14ac:dyDescent="0.2">
      <c r="A69" s="46" t="s">
        <v>160</v>
      </c>
      <c r="B69" s="47" t="s">
        <v>203</v>
      </c>
      <c r="C69" s="47" t="s">
        <v>18</v>
      </c>
      <c r="D69" s="1" t="str">
        <f>LEFT(I69,6)</f>
        <v>0.8335</v>
      </c>
      <c r="E69" s="1"/>
      <c r="F69" s="1"/>
      <c r="G69" s="1"/>
      <c r="H69" s="1"/>
      <c r="I69" s="47" t="s">
        <v>273</v>
      </c>
      <c r="J69" s="47" t="s">
        <v>274</v>
      </c>
      <c r="K69" s="47" t="s">
        <v>275</v>
      </c>
      <c r="L69" s="47" t="s">
        <v>276</v>
      </c>
      <c r="M69" s="47" t="s">
        <v>277</v>
      </c>
      <c r="N69" s="47"/>
      <c r="O69" s="48"/>
    </row>
    <row r="70" spans="1:15" x14ac:dyDescent="0.2">
      <c r="A70" s="46" t="s">
        <v>160</v>
      </c>
      <c r="B70" s="47" t="s">
        <v>203</v>
      </c>
      <c r="C70" s="47" t="s">
        <v>24</v>
      </c>
      <c r="D70" s="1" t="str">
        <f>LEFT(I70,6)</f>
        <v>0.8283</v>
      </c>
      <c r="E70" s="1"/>
      <c r="F70" s="1"/>
      <c r="G70" s="1"/>
      <c r="H70" s="1"/>
      <c r="I70" s="47" t="s">
        <v>278</v>
      </c>
      <c r="J70" s="47" t="s">
        <v>279</v>
      </c>
      <c r="K70" s="47" t="s">
        <v>280</v>
      </c>
      <c r="L70" s="47" t="s">
        <v>281</v>
      </c>
      <c r="M70" s="47" t="s">
        <v>282</v>
      </c>
      <c r="N70" s="47"/>
      <c r="O70" s="48"/>
    </row>
    <row r="71" spans="1:15" ht="17" thickBot="1" x14ac:dyDescent="0.25">
      <c r="A71" s="49" t="s">
        <v>160</v>
      </c>
      <c r="B71" s="50" t="s">
        <v>203</v>
      </c>
      <c r="C71" s="50" t="s">
        <v>27</v>
      </c>
      <c r="D71" s="2" t="str">
        <f>LEFT(I71,6)</f>
        <v>0.8238</v>
      </c>
      <c r="E71" s="2"/>
      <c r="F71" s="2"/>
      <c r="G71" s="2"/>
      <c r="H71" s="2"/>
      <c r="I71" s="50" t="s">
        <v>283</v>
      </c>
      <c r="J71" s="50" t="s">
        <v>284</v>
      </c>
      <c r="K71" s="50" t="s">
        <v>285</v>
      </c>
      <c r="L71" s="50" t="s">
        <v>286</v>
      </c>
      <c r="M71" s="50" t="s">
        <v>287</v>
      </c>
      <c r="N71" s="50"/>
      <c r="O71" s="51"/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C6020-BBB6-AE46-83DB-4839D4ADD737}">
  <dimension ref="A1:J71"/>
  <sheetViews>
    <sheetView workbookViewId="0">
      <selection sqref="A1:J67"/>
    </sheetView>
  </sheetViews>
  <sheetFormatPr baseColWidth="10" defaultRowHeight="16" x14ac:dyDescent="0.2"/>
  <cols>
    <col min="1" max="1" width="18.1640625" bestFit="1" customWidth="1"/>
    <col min="2" max="2" width="14.1640625" bestFit="1" customWidth="1"/>
    <col min="3" max="3" width="16.6640625" bestFit="1" customWidth="1"/>
    <col min="4" max="4" width="19.83203125" bestFit="1" customWidth="1"/>
    <col min="5" max="5" width="20" bestFit="1" customWidth="1"/>
    <col min="6" max="6" width="17.1640625" bestFit="1" customWidth="1"/>
    <col min="7" max="7" width="19.1640625" bestFit="1" customWidth="1"/>
    <col min="8" max="8" width="20" bestFit="1" customWidth="1"/>
    <col min="9" max="9" width="33.5" bestFit="1" customWidth="1"/>
    <col min="10" max="10" width="35.6640625" bestFit="1" customWidth="1"/>
  </cols>
  <sheetData>
    <row r="1" spans="1:10" x14ac:dyDescent="0.2">
      <c r="A1" s="71" t="s">
        <v>29</v>
      </c>
      <c r="B1" s="72" t="s">
        <v>30</v>
      </c>
      <c r="C1" s="72" t="s">
        <v>0</v>
      </c>
      <c r="D1" s="72" t="s">
        <v>306</v>
      </c>
      <c r="E1" s="72" t="s">
        <v>307</v>
      </c>
      <c r="F1" s="72" t="s">
        <v>308</v>
      </c>
      <c r="G1" s="72" t="s">
        <v>309</v>
      </c>
      <c r="H1" s="72" t="s">
        <v>310</v>
      </c>
      <c r="I1" s="72" t="s">
        <v>1</v>
      </c>
      <c r="J1" s="73" t="s">
        <v>2</v>
      </c>
    </row>
    <row r="2" spans="1:10" hidden="1" x14ac:dyDescent="0.2">
      <c r="A2" s="80" t="s">
        <v>31</v>
      </c>
      <c r="B2" s="38" t="s">
        <v>203</v>
      </c>
      <c r="C2" s="38" t="s">
        <v>8</v>
      </c>
      <c r="D2" s="81">
        <v>0.45789999999999997</v>
      </c>
      <c r="E2" s="81">
        <v>0</v>
      </c>
      <c r="F2" s="81">
        <v>0</v>
      </c>
      <c r="G2" s="81">
        <v>0</v>
      </c>
      <c r="H2" s="108">
        <v>0.5</v>
      </c>
      <c r="I2" s="38"/>
      <c r="J2" s="82"/>
    </row>
    <row r="3" spans="1:10" x14ac:dyDescent="0.2">
      <c r="A3" s="74" t="s">
        <v>31</v>
      </c>
      <c r="B3" s="53" t="s">
        <v>203</v>
      </c>
      <c r="C3" s="53" t="s">
        <v>12</v>
      </c>
      <c r="D3" s="76">
        <v>0.84440000000000004</v>
      </c>
      <c r="E3" s="76">
        <v>0.91520000000000001</v>
      </c>
      <c r="F3" s="76">
        <v>0.78569999999999995</v>
      </c>
      <c r="G3" s="76">
        <v>0.84550000000000003</v>
      </c>
      <c r="H3" s="117">
        <v>0.89</v>
      </c>
      <c r="I3" s="53"/>
      <c r="J3" s="75"/>
    </row>
    <row r="4" spans="1:10" hidden="1" x14ac:dyDescent="0.2">
      <c r="A4" s="80" t="s">
        <v>31</v>
      </c>
      <c r="B4" s="38" t="s">
        <v>203</v>
      </c>
      <c r="C4" s="38" t="s">
        <v>18</v>
      </c>
      <c r="D4" s="81">
        <v>0.83399999999999996</v>
      </c>
      <c r="E4" s="81">
        <v>0.90139999999999998</v>
      </c>
      <c r="F4" s="81">
        <v>0.77880000000000005</v>
      </c>
      <c r="G4" s="81">
        <v>0.8357</v>
      </c>
      <c r="H4" s="108">
        <v>0.89880000000000004</v>
      </c>
      <c r="I4" s="38"/>
      <c r="J4" s="82"/>
    </row>
    <row r="5" spans="1:10" hidden="1" x14ac:dyDescent="0.2">
      <c r="A5" s="80" t="s">
        <v>31</v>
      </c>
      <c r="B5" s="38" t="s">
        <v>203</v>
      </c>
      <c r="C5" s="38" t="s">
        <v>24</v>
      </c>
      <c r="D5" s="81">
        <v>0.83099999999999996</v>
      </c>
      <c r="E5" s="81">
        <v>0.95140000000000002</v>
      </c>
      <c r="F5" s="81">
        <v>0.72529999999999994</v>
      </c>
      <c r="G5" s="81">
        <v>0.82310000000000005</v>
      </c>
      <c r="H5" s="108">
        <v>0.88290000000000002</v>
      </c>
      <c r="I5" s="38"/>
      <c r="J5" s="82"/>
    </row>
    <row r="6" spans="1:10" hidden="1" x14ac:dyDescent="0.2">
      <c r="A6" s="80" t="s">
        <v>31</v>
      </c>
      <c r="B6" s="38" t="s">
        <v>203</v>
      </c>
      <c r="C6" s="38" t="s">
        <v>27</v>
      </c>
      <c r="D6" s="81">
        <v>0.45789999999999997</v>
      </c>
      <c r="E6" s="81">
        <v>0</v>
      </c>
      <c r="F6" s="81">
        <v>0</v>
      </c>
      <c r="G6" s="81">
        <v>0</v>
      </c>
      <c r="H6" s="108">
        <v>0.5</v>
      </c>
      <c r="I6" s="38"/>
      <c r="J6" s="82"/>
    </row>
    <row r="7" spans="1:10" hidden="1" x14ac:dyDescent="0.2">
      <c r="A7" s="74" t="s">
        <v>58</v>
      </c>
      <c r="B7" s="53" t="s">
        <v>203</v>
      </c>
      <c r="C7" s="53" t="s">
        <v>8</v>
      </c>
      <c r="D7" s="76">
        <v>0.79749999999999999</v>
      </c>
      <c r="E7" s="76">
        <v>0.6</v>
      </c>
      <c r="F7" s="76">
        <v>0.33329999999999999</v>
      </c>
      <c r="G7" s="76">
        <v>0.42859999999999998</v>
      </c>
      <c r="H7" s="117">
        <v>0.69850000000000001</v>
      </c>
      <c r="I7" s="53"/>
      <c r="J7" s="75"/>
    </row>
    <row r="8" spans="1:10" hidden="1" x14ac:dyDescent="0.2">
      <c r="A8" s="83" t="s">
        <v>58</v>
      </c>
      <c r="B8" s="23" t="s">
        <v>203</v>
      </c>
      <c r="C8" s="23" t="s">
        <v>12</v>
      </c>
      <c r="D8" s="84">
        <v>0.63290000000000002</v>
      </c>
      <c r="E8" s="84">
        <v>0.31030000000000002</v>
      </c>
      <c r="F8" s="84">
        <v>0.5</v>
      </c>
      <c r="G8" s="84">
        <v>0.38300000000000001</v>
      </c>
      <c r="H8" s="109">
        <v>0.65210000000000001</v>
      </c>
      <c r="I8" s="23"/>
      <c r="J8" s="85"/>
    </row>
    <row r="9" spans="1:10" hidden="1" x14ac:dyDescent="0.2">
      <c r="A9" s="83" t="s">
        <v>58</v>
      </c>
      <c r="B9" s="23" t="s">
        <v>203</v>
      </c>
      <c r="C9" s="23" t="s">
        <v>18</v>
      </c>
      <c r="D9" s="84">
        <v>0.65820000000000001</v>
      </c>
      <c r="E9" s="84">
        <v>0.3548</v>
      </c>
      <c r="F9" s="84">
        <v>0.61109999999999998</v>
      </c>
      <c r="G9" s="84">
        <v>0.44900000000000001</v>
      </c>
      <c r="H9" s="109">
        <v>0.66710000000000003</v>
      </c>
      <c r="I9" s="23"/>
      <c r="J9" s="85"/>
    </row>
    <row r="10" spans="1:10" hidden="1" x14ac:dyDescent="0.2">
      <c r="A10" s="83" t="s">
        <v>58</v>
      </c>
      <c r="B10" s="23" t="s">
        <v>203</v>
      </c>
      <c r="C10" s="23" t="s">
        <v>24</v>
      </c>
      <c r="D10" s="84">
        <v>0.50629999999999997</v>
      </c>
      <c r="E10" s="84">
        <v>0.30909999999999999</v>
      </c>
      <c r="F10" s="84">
        <v>0.94440000000000002</v>
      </c>
      <c r="G10" s="84">
        <v>0.46579999999999999</v>
      </c>
      <c r="H10" s="109">
        <v>0.67490000000000006</v>
      </c>
      <c r="I10" s="23"/>
      <c r="J10" s="85"/>
    </row>
    <row r="11" spans="1:10" hidden="1" x14ac:dyDescent="0.2">
      <c r="A11" s="83" t="s">
        <v>58</v>
      </c>
      <c r="B11" s="23" t="s">
        <v>203</v>
      </c>
      <c r="C11" s="23" t="s">
        <v>27</v>
      </c>
      <c r="D11" s="84">
        <v>0.60760000000000003</v>
      </c>
      <c r="E11" s="84">
        <v>0.32429999999999998</v>
      </c>
      <c r="F11" s="84">
        <v>0.66669999999999996</v>
      </c>
      <c r="G11" s="84">
        <v>0.43640000000000001</v>
      </c>
      <c r="H11" s="109">
        <v>0.72130000000000005</v>
      </c>
      <c r="I11" s="23"/>
      <c r="J11" s="85"/>
    </row>
    <row r="12" spans="1:10" hidden="1" x14ac:dyDescent="0.2">
      <c r="A12" s="86" t="s">
        <v>82</v>
      </c>
      <c r="B12" s="41" t="s">
        <v>203</v>
      </c>
      <c r="C12" s="41" t="s">
        <v>8</v>
      </c>
      <c r="D12" s="87">
        <v>0.80420000000000003</v>
      </c>
      <c r="E12" s="87">
        <v>0.83360000000000001</v>
      </c>
      <c r="F12" s="87">
        <v>0.79810000000000003</v>
      </c>
      <c r="G12" s="87">
        <v>0.81540000000000001</v>
      </c>
      <c r="H12" s="110">
        <v>0.87749999999999995</v>
      </c>
      <c r="I12" s="41"/>
      <c r="J12" s="88"/>
    </row>
    <row r="13" spans="1:10" hidden="1" x14ac:dyDescent="0.2">
      <c r="A13" s="86" t="s">
        <v>82</v>
      </c>
      <c r="B13" s="41" t="s">
        <v>203</v>
      </c>
      <c r="C13" s="41" t="s">
        <v>12</v>
      </c>
      <c r="D13" s="87">
        <v>0.80940000000000001</v>
      </c>
      <c r="E13" s="87">
        <v>0.86760000000000004</v>
      </c>
      <c r="F13" s="87">
        <v>0.7651</v>
      </c>
      <c r="G13" s="87">
        <v>0.81310000000000004</v>
      </c>
      <c r="H13" s="110">
        <v>0.87009999999999998</v>
      </c>
      <c r="I13" s="41"/>
      <c r="J13" s="88"/>
    </row>
    <row r="14" spans="1:10" x14ac:dyDescent="0.2">
      <c r="A14" s="74" t="s">
        <v>82</v>
      </c>
      <c r="B14" s="53" t="s">
        <v>203</v>
      </c>
      <c r="C14" s="53" t="s">
        <v>18</v>
      </c>
      <c r="D14" s="76">
        <v>0.81159999999999999</v>
      </c>
      <c r="E14" s="76">
        <v>0.87050000000000005</v>
      </c>
      <c r="F14" s="76">
        <v>0.76649999999999996</v>
      </c>
      <c r="G14" s="76">
        <v>0.81520000000000004</v>
      </c>
      <c r="H14" s="117">
        <v>0.87649999999999995</v>
      </c>
      <c r="I14" s="53"/>
      <c r="J14" s="75"/>
    </row>
    <row r="15" spans="1:10" hidden="1" x14ac:dyDescent="0.2">
      <c r="A15" s="86" t="s">
        <v>82</v>
      </c>
      <c r="B15" s="41" t="s">
        <v>203</v>
      </c>
      <c r="C15" s="41" t="s">
        <v>24</v>
      </c>
      <c r="D15" s="87">
        <v>0.81089999999999995</v>
      </c>
      <c r="E15" s="87">
        <v>0.87150000000000005</v>
      </c>
      <c r="F15" s="87">
        <v>0.76370000000000005</v>
      </c>
      <c r="G15" s="87">
        <v>0.81410000000000005</v>
      </c>
      <c r="H15" s="110">
        <v>0.87139999999999995</v>
      </c>
      <c r="I15" s="41"/>
      <c r="J15" s="88"/>
    </row>
    <row r="16" spans="1:10" hidden="1" x14ac:dyDescent="0.2">
      <c r="A16" s="86" t="s">
        <v>82</v>
      </c>
      <c r="B16" s="41" t="s">
        <v>203</v>
      </c>
      <c r="C16" s="41" t="s">
        <v>27</v>
      </c>
      <c r="D16" s="87">
        <v>0.82869999999999999</v>
      </c>
      <c r="E16" s="87">
        <v>0.91090000000000004</v>
      </c>
      <c r="F16" s="87">
        <v>0.75819999999999999</v>
      </c>
      <c r="G16" s="87">
        <v>0.8276</v>
      </c>
      <c r="H16" s="110">
        <v>0.86970000000000003</v>
      </c>
      <c r="I16" s="41"/>
      <c r="J16" s="88"/>
    </row>
    <row r="17" spans="1:10" hidden="1" x14ac:dyDescent="0.2">
      <c r="A17" s="89" t="s">
        <v>99</v>
      </c>
      <c r="B17" s="11" t="s">
        <v>203</v>
      </c>
      <c r="C17" s="11" t="s">
        <v>8</v>
      </c>
      <c r="D17" s="90">
        <v>0.2278</v>
      </c>
      <c r="E17" s="90">
        <v>0.2278</v>
      </c>
      <c r="F17" s="90">
        <v>1</v>
      </c>
      <c r="G17" s="90">
        <v>0.37109999999999999</v>
      </c>
      <c r="H17" s="111">
        <v>0.5</v>
      </c>
      <c r="I17" s="11"/>
      <c r="J17" s="91"/>
    </row>
    <row r="18" spans="1:10" hidden="1" x14ac:dyDescent="0.2">
      <c r="A18" s="89" t="s">
        <v>99</v>
      </c>
      <c r="B18" s="11" t="s">
        <v>203</v>
      </c>
      <c r="C18" s="11" t="s">
        <v>12</v>
      </c>
      <c r="D18" s="90">
        <v>0.2152</v>
      </c>
      <c r="E18" s="90">
        <v>0.21790000000000001</v>
      </c>
      <c r="F18" s="90">
        <v>0.94440000000000002</v>
      </c>
      <c r="G18" s="90">
        <v>0.35420000000000001</v>
      </c>
      <c r="H18" s="111">
        <v>0.54049999999999998</v>
      </c>
      <c r="I18" s="11"/>
      <c r="J18" s="91"/>
    </row>
    <row r="19" spans="1:10" hidden="1" x14ac:dyDescent="0.2">
      <c r="A19" s="74" t="s">
        <v>99</v>
      </c>
      <c r="B19" s="53" t="s">
        <v>203</v>
      </c>
      <c r="C19" s="53" t="s">
        <v>18</v>
      </c>
      <c r="D19" s="76">
        <v>0.69620000000000004</v>
      </c>
      <c r="E19" s="76">
        <v>0.3125</v>
      </c>
      <c r="F19" s="76">
        <v>0.27779999999999999</v>
      </c>
      <c r="G19" s="76">
        <v>0.29409999999999997</v>
      </c>
      <c r="H19" s="117">
        <v>0.54869999999999997</v>
      </c>
      <c r="I19" s="53"/>
      <c r="J19" s="75"/>
    </row>
    <row r="20" spans="1:10" hidden="1" x14ac:dyDescent="0.2">
      <c r="A20" s="89" t="s">
        <v>99</v>
      </c>
      <c r="B20" s="11" t="s">
        <v>203</v>
      </c>
      <c r="C20" s="11" t="s">
        <v>24</v>
      </c>
      <c r="D20" s="90">
        <v>0.2278</v>
      </c>
      <c r="E20" s="90">
        <v>0.2278</v>
      </c>
      <c r="F20" s="90">
        <v>1</v>
      </c>
      <c r="G20" s="90">
        <v>0.37109999999999999</v>
      </c>
      <c r="H20" s="111">
        <v>0.57469999999999999</v>
      </c>
      <c r="I20" s="11"/>
      <c r="J20" s="91"/>
    </row>
    <row r="21" spans="1:10" hidden="1" x14ac:dyDescent="0.2">
      <c r="A21" s="89" t="s">
        <v>99</v>
      </c>
      <c r="B21" s="11" t="s">
        <v>203</v>
      </c>
      <c r="C21" s="11" t="s">
        <v>27</v>
      </c>
      <c r="D21" s="90">
        <v>0.2278</v>
      </c>
      <c r="E21" s="90">
        <v>0.2278</v>
      </c>
      <c r="F21" s="90">
        <v>1</v>
      </c>
      <c r="G21" s="90">
        <v>0.37109999999999999</v>
      </c>
      <c r="H21" s="111">
        <v>0.5</v>
      </c>
      <c r="I21" s="11"/>
      <c r="J21" s="91"/>
    </row>
    <row r="22" spans="1:10" hidden="1" x14ac:dyDescent="0.2">
      <c r="A22" s="92" t="s">
        <v>119</v>
      </c>
      <c r="B22" s="26" t="s">
        <v>203</v>
      </c>
      <c r="C22" s="26" t="s">
        <v>8</v>
      </c>
      <c r="D22" s="93">
        <v>0.26579999999999998</v>
      </c>
      <c r="E22" s="93">
        <v>0.21429999999999999</v>
      </c>
      <c r="F22" s="93">
        <v>0.83330000000000004</v>
      </c>
      <c r="G22" s="93">
        <v>0.34089999999999998</v>
      </c>
      <c r="H22" s="112">
        <v>0.4617</v>
      </c>
      <c r="I22" s="26"/>
      <c r="J22" s="94"/>
    </row>
    <row r="23" spans="1:10" hidden="1" x14ac:dyDescent="0.2">
      <c r="A23" s="92" t="s">
        <v>119</v>
      </c>
      <c r="B23" s="26" t="s">
        <v>203</v>
      </c>
      <c r="C23" s="26" t="s">
        <v>12</v>
      </c>
      <c r="D23" s="93">
        <v>0.2278</v>
      </c>
      <c r="E23" s="93">
        <v>0.2278</v>
      </c>
      <c r="F23" s="93">
        <v>1</v>
      </c>
      <c r="G23" s="93">
        <v>0.37109999999999999</v>
      </c>
      <c r="H23" s="112">
        <v>0.54600000000000004</v>
      </c>
      <c r="I23" s="26"/>
      <c r="J23" s="94"/>
    </row>
    <row r="24" spans="1:10" hidden="1" x14ac:dyDescent="0.2">
      <c r="A24" s="74" t="s">
        <v>119</v>
      </c>
      <c r="B24" s="53" t="s">
        <v>203</v>
      </c>
      <c r="C24" s="53" t="s">
        <v>18</v>
      </c>
      <c r="D24" s="76">
        <v>0.2278</v>
      </c>
      <c r="E24" s="76">
        <v>0.2278</v>
      </c>
      <c r="F24" s="76">
        <v>1</v>
      </c>
      <c r="G24" s="76">
        <v>0.37109999999999999</v>
      </c>
      <c r="H24" s="117">
        <v>0.54869999999999997</v>
      </c>
      <c r="I24" s="53"/>
      <c r="J24" s="75"/>
    </row>
    <row r="25" spans="1:10" hidden="1" x14ac:dyDescent="0.2">
      <c r="A25" s="92" t="s">
        <v>119</v>
      </c>
      <c r="B25" s="26" t="s">
        <v>203</v>
      </c>
      <c r="C25" s="26" t="s">
        <v>24</v>
      </c>
      <c r="D25" s="93">
        <v>0.2278</v>
      </c>
      <c r="E25" s="93">
        <v>0.2278</v>
      </c>
      <c r="F25" s="93">
        <v>1</v>
      </c>
      <c r="G25" s="93">
        <v>0.37109999999999999</v>
      </c>
      <c r="H25" s="112">
        <v>0.5</v>
      </c>
      <c r="I25" s="26"/>
      <c r="J25" s="94"/>
    </row>
    <row r="26" spans="1:10" hidden="1" x14ac:dyDescent="0.2">
      <c r="A26" s="92" t="s">
        <v>119</v>
      </c>
      <c r="B26" s="26" t="s">
        <v>203</v>
      </c>
      <c r="C26" s="26" t="s">
        <v>27</v>
      </c>
      <c r="D26" s="93">
        <v>0.27850000000000003</v>
      </c>
      <c r="E26" s="93">
        <v>0.21740000000000001</v>
      </c>
      <c r="F26" s="93">
        <v>0.83330000000000004</v>
      </c>
      <c r="G26" s="93">
        <v>0.3448</v>
      </c>
      <c r="H26" s="112">
        <v>0.47399999999999998</v>
      </c>
      <c r="I26" s="26"/>
      <c r="J26" s="94"/>
    </row>
    <row r="27" spans="1:10" hidden="1" x14ac:dyDescent="0.2">
      <c r="A27" s="95" t="s">
        <v>135</v>
      </c>
      <c r="B27" s="29" t="s">
        <v>203</v>
      </c>
      <c r="C27" s="29" t="s">
        <v>8</v>
      </c>
      <c r="D27" s="96">
        <v>0.45789999999999997</v>
      </c>
      <c r="E27" s="96">
        <v>0</v>
      </c>
      <c r="F27" s="96">
        <v>0</v>
      </c>
      <c r="G27" s="96">
        <v>0</v>
      </c>
      <c r="H27" s="113">
        <v>0.5</v>
      </c>
      <c r="I27" s="29"/>
      <c r="J27" s="97"/>
    </row>
    <row r="28" spans="1:10" hidden="1" x14ac:dyDescent="0.2">
      <c r="A28" s="95" t="s">
        <v>135</v>
      </c>
      <c r="B28" s="29" t="s">
        <v>203</v>
      </c>
      <c r="C28" s="29" t="s">
        <v>12</v>
      </c>
      <c r="D28" s="96">
        <v>0.68500000000000005</v>
      </c>
      <c r="E28" s="96">
        <v>0.65939999999999999</v>
      </c>
      <c r="F28" s="96">
        <v>0.86680000000000001</v>
      </c>
      <c r="G28" s="96">
        <v>0.749</v>
      </c>
      <c r="H28" s="113">
        <v>0.8347</v>
      </c>
      <c r="I28" s="29"/>
      <c r="J28" s="97"/>
    </row>
    <row r="29" spans="1:10" x14ac:dyDescent="0.2">
      <c r="A29" s="74" t="s">
        <v>135</v>
      </c>
      <c r="B29" s="53" t="s">
        <v>203</v>
      </c>
      <c r="C29" s="53" t="s">
        <v>18</v>
      </c>
      <c r="D29" s="76">
        <v>0.76839999999999997</v>
      </c>
      <c r="E29" s="76">
        <v>0.7571</v>
      </c>
      <c r="F29" s="76">
        <v>0.84340000000000004</v>
      </c>
      <c r="G29" s="76">
        <v>0.79790000000000005</v>
      </c>
      <c r="H29" s="117">
        <v>0.87270000000000003</v>
      </c>
      <c r="I29" s="53"/>
      <c r="J29" s="75"/>
    </row>
    <row r="30" spans="1:10" hidden="1" x14ac:dyDescent="0.2">
      <c r="A30" s="95" t="s">
        <v>135</v>
      </c>
      <c r="B30" s="29" t="s">
        <v>203</v>
      </c>
      <c r="C30" s="29" t="s">
        <v>24</v>
      </c>
      <c r="D30" s="96">
        <v>0.72230000000000005</v>
      </c>
      <c r="E30" s="96">
        <v>0.70099999999999996</v>
      </c>
      <c r="F30" s="96">
        <v>0.85029999999999994</v>
      </c>
      <c r="G30" s="96">
        <v>0.76849999999999996</v>
      </c>
      <c r="H30" s="113">
        <v>0.85760000000000003</v>
      </c>
      <c r="I30" s="29"/>
      <c r="J30" s="97"/>
    </row>
    <row r="31" spans="1:10" hidden="1" x14ac:dyDescent="0.2">
      <c r="A31" s="95" t="s">
        <v>135</v>
      </c>
      <c r="B31" s="29" t="s">
        <v>203</v>
      </c>
      <c r="C31" s="29" t="s">
        <v>27</v>
      </c>
      <c r="D31" s="96">
        <v>0.54210000000000003</v>
      </c>
      <c r="E31" s="96">
        <v>0.54210000000000003</v>
      </c>
      <c r="F31" s="96">
        <v>1</v>
      </c>
      <c r="G31" s="96">
        <v>0.70299999999999996</v>
      </c>
      <c r="H31" s="113">
        <v>0.5</v>
      </c>
      <c r="I31" s="29"/>
      <c r="J31" s="97"/>
    </row>
    <row r="32" spans="1:10" x14ac:dyDescent="0.2">
      <c r="A32" s="74" t="s">
        <v>160</v>
      </c>
      <c r="B32" s="53" t="s">
        <v>203</v>
      </c>
      <c r="C32" s="53" t="s">
        <v>8</v>
      </c>
      <c r="D32" s="76">
        <v>0.84189999999999998</v>
      </c>
      <c r="E32" s="76">
        <v>0.87480000000000002</v>
      </c>
      <c r="F32" s="76">
        <v>0.82499999999999996</v>
      </c>
      <c r="G32" s="76">
        <v>0.84919999999999995</v>
      </c>
      <c r="H32" s="117">
        <v>0.93300000000000005</v>
      </c>
      <c r="I32" s="53"/>
      <c r="J32" s="75"/>
    </row>
    <row r="33" spans="1:10" hidden="1" x14ac:dyDescent="0.2">
      <c r="A33" s="80" t="s">
        <v>160</v>
      </c>
      <c r="B33" s="38" t="s">
        <v>203</v>
      </c>
      <c r="C33" s="38" t="s">
        <v>12</v>
      </c>
      <c r="D33" s="81">
        <v>0.81950000000000001</v>
      </c>
      <c r="E33" s="81">
        <v>0.87360000000000004</v>
      </c>
      <c r="F33" s="81">
        <v>0.77780000000000005</v>
      </c>
      <c r="G33" s="81">
        <v>0.82289999999999996</v>
      </c>
      <c r="H33" s="108">
        <v>0.90200000000000002</v>
      </c>
      <c r="I33" s="38"/>
      <c r="J33" s="82"/>
    </row>
    <row r="34" spans="1:10" hidden="1" x14ac:dyDescent="0.2">
      <c r="A34" s="80" t="s">
        <v>160</v>
      </c>
      <c r="B34" s="38" t="s">
        <v>203</v>
      </c>
      <c r="C34" s="38" t="s">
        <v>18</v>
      </c>
      <c r="D34" s="81">
        <v>0.8337</v>
      </c>
      <c r="E34" s="81">
        <v>0.88790000000000002</v>
      </c>
      <c r="F34" s="81">
        <v>0.79169999999999996</v>
      </c>
      <c r="G34" s="81">
        <v>0.83699999999999997</v>
      </c>
      <c r="H34" s="108">
        <v>0.91549999999999998</v>
      </c>
      <c r="I34" s="38"/>
      <c r="J34" s="82"/>
    </row>
    <row r="35" spans="1:10" hidden="1" x14ac:dyDescent="0.2">
      <c r="A35" s="80" t="s">
        <v>160</v>
      </c>
      <c r="B35" s="38" t="s">
        <v>203</v>
      </c>
      <c r="C35" s="38" t="s">
        <v>24</v>
      </c>
      <c r="D35" s="81">
        <v>0.82850000000000001</v>
      </c>
      <c r="E35" s="81">
        <v>0.89149999999999996</v>
      </c>
      <c r="F35" s="81">
        <v>0.77639999999999998</v>
      </c>
      <c r="G35" s="81">
        <v>0.83</v>
      </c>
      <c r="H35" s="108">
        <v>0.91620000000000001</v>
      </c>
      <c r="I35" s="38"/>
      <c r="J35" s="82"/>
    </row>
    <row r="36" spans="1:10" hidden="1" x14ac:dyDescent="0.2">
      <c r="A36" s="80" t="s">
        <v>160</v>
      </c>
      <c r="B36" s="38" t="s">
        <v>203</v>
      </c>
      <c r="C36" s="38" t="s">
        <v>27</v>
      </c>
      <c r="D36" s="81">
        <v>0.82399999999999995</v>
      </c>
      <c r="E36" s="81">
        <v>0.88800000000000001</v>
      </c>
      <c r="F36" s="81">
        <v>0.77080000000000004</v>
      </c>
      <c r="G36" s="81">
        <v>0.82530000000000003</v>
      </c>
      <c r="H36" s="108">
        <v>0.9113</v>
      </c>
      <c r="I36" s="38"/>
      <c r="J36" s="82"/>
    </row>
    <row r="37" spans="1:10" hidden="1" x14ac:dyDescent="0.2">
      <c r="A37" s="83" t="s">
        <v>31</v>
      </c>
      <c r="B37" s="23" t="s">
        <v>32</v>
      </c>
      <c r="C37" s="23" t="s">
        <v>8</v>
      </c>
      <c r="D37" s="84">
        <v>0.7722</v>
      </c>
      <c r="E37" s="84">
        <v>0</v>
      </c>
      <c r="F37" s="84">
        <v>0</v>
      </c>
      <c r="G37" s="84">
        <v>0</v>
      </c>
      <c r="H37" s="109">
        <v>0.5</v>
      </c>
      <c r="I37" s="23"/>
      <c r="J37" s="85"/>
    </row>
    <row r="38" spans="1:10" hidden="1" x14ac:dyDescent="0.2">
      <c r="A38" s="83" t="s">
        <v>31</v>
      </c>
      <c r="B38" s="23" t="s">
        <v>32</v>
      </c>
      <c r="C38" s="23" t="s">
        <v>12</v>
      </c>
      <c r="D38" s="84">
        <v>0.7722</v>
      </c>
      <c r="E38" s="84">
        <v>0.5</v>
      </c>
      <c r="F38" s="84">
        <v>0.16669999999999999</v>
      </c>
      <c r="G38" s="84">
        <v>0.25</v>
      </c>
      <c r="H38" s="109">
        <v>0.9103</v>
      </c>
      <c r="I38" s="23"/>
      <c r="J38" s="85"/>
    </row>
    <row r="39" spans="1:10" x14ac:dyDescent="0.2">
      <c r="A39" s="74" t="s">
        <v>31</v>
      </c>
      <c r="B39" s="53" t="s">
        <v>32</v>
      </c>
      <c r="C39" s="53" t="s">
        <v>18</v>
      </c>
      <c r="D39" s="76">
        <v>0.92410000000000003</v>
      </c>
      <c r="E39" s="76">
        <v>0.8</v>
      </c>
      <c r="F39" s="76">
        <v>0.88890000000000002</v>
      </c>
      <c r="G39" s="76">
        <v>0.84209999999999996</v>
      </c>
      <c r="H39" s="117">
        <v>0.94669999999999999</v>
      </c>
      <c r="I39" s="53"/>
      <c r="J39" s="75"/>
    </row>
    <row r="40" spans="1:10" hidden="1" x14ac:dyDescent="0.2">
      <c r="A40" s="83" t="s">
        <v>31</v>
      </c>
      <c r="B40" s="23" t="s">
        <v>32</v>
      </c>
      <c r="C40" s="23" t="s">
        <v>24</v>
      </c>
      <c r="D40" s="84">
        <v>0.75949999999999995</v>
      </c>
      <c r="E40" s="84">
        <v>0</v>
      </c>
      <c r="F40" s="84">
        <v>0</v>
      </c>
      <c r="G40" s="84">
        <v>0</v>
      </c>
      <c r="H40" s="109">
        <v>0.96579999999999999</v>
      </c>
      <c r="I40" s="23"/>
      <c r="J40" s="85"/>
    </row>
    <row r="41" spans="1:10" hidden="1" x14ac:dyDescent="0.2">
      <c r="A41" s="83" t="s">
        <v>31</v>
      </c>
      <c r="B41" s="23" t="s">
        <v>32</v>
      </c>
      <c r="C41" s="23" t="s">
        <v>27</v>
      </c>
      <c r="D41" s="84">
        <v>0.7722</v>
      </c>
      <c r="E41" s="84">
        <v>0</v>
      </c>
      <c r="F41" s="84">
        <v>0</v>
      </c>
      <c r="G41" s="84">
        <v>0</v>
      </c>
      <c r="H41" s="109">
        <v>0.5</v>
      </c>
      <c r="I41" s="23"/>
      <c r="J41" s="85"/>
    </row>
    <row r="42" spans="1:10" hidden="1" x14ac:dyDescent="0.2">
      <c r="A42" s="86" t="s">
        <v>58</v>
      </c>
      <c r="B42" s="41" t="s">
        <v>32</v>
      </c>
      <c r="C42" s="41" t="s">
        <v>8</v>
      </c>
      <c r="D42" s="87">
        <v>0.67090000000000005</v>
      </c>
      <c r="E42" s="87">
        <v>0.34620000000000001</v>
      </c>
      <c r="F42" s="87">
        <v>0.5</v>
      </c>
      <c r="G42" s="87">
        <v>0.40910000000000002</v>
      </c>
      <c r="H42" s="110">
        <v>0.61070000000000002</v>
      </c>
      <c r="I42" s="41"/>
      <c r="J42" s="88"/>
    </row>
    <row r="43" spans="1:10" hidden="1" x14ac:dyDescent="0.2">
      <c r="A43" s="86" t="s">
        <v>58</v>
      </c>
      <c r="B43" s="41" t="s">
        <v>32</v>
      </c>
      <c r="C43" s="41" t="s">
        <v>12</v>
      </c>
      <c r="D43" s="87">
        <v>0.64559999999999995</v>
      </c>
      <c r="E43" s="87">
        <v>0.36109999999999998</v>
      </c>
      <c r="F43" s="87">
        <v>0.72219999999999995</v>
      </c>
      <c r="G43" s="87">
        <v>0.48149999999999998</v>
      </c>
      <c r="H43" s="110">
        <v>0.67259999999999998</v>
      </c>
      <c r="I43" s="41"/>
      <c r="J43" s="88"/>
    </row>
    <row r="44" spans="1:10" hidden="1" x14ac:dyDescent="0.2">
      <c r="A44" s="74" t="s">
        <v>58</v>
      </c>
      <c r="B44" s="53" t="s">
        <v>32</v>
      </c>
      <c r="C44" s="53" t="s">
        <v>18</v>
      </c>
      <c r="D44" s="76">
        <v>0.65820000000000001</v>
      </c>
      <c r="E44" s="76">
        <v>0.37140000000000001</v>
      </c>
      <c r="F44" s="76">
        <v>0.72219999999999995</v>
      </c>
      <c r="G44" s="76">
        <v>0.49059999999999998</v>
      </c>
      <c r="H44" s="117">
        <v>0.68079999999999996</v>
      </c>
      <c r="I44" s="53"/>
      <c r="J44" s="75"/>
    </row>
    <row r="45" spans="1:10" hidden="1" x14ac:dyDescent="0.2">
      <c r="A45" s="86" t="s">
        <v>58</v>
      </c>
      <c r="B45" s="41" t="s">
        <v>32</v>
      </c>
      <c r="C45" s="41" t="s">
        <v>24</v>
      </c>
      <c r="D45" s="87">
        <v>0.63290000000000002</v>
      </c>
      <c r="E45" s="87">
        <v>0.35139999999999999</v>
      </c>
      <c r="F45" s="87">
        <v>0.72219999999999995</v>
      </c>
      <c r="G45" s="87">
        <v>0.47270000000000001</v>
      </c>
      <c r="H45" s="110">
        <v>0.66439999999999999</v>
      </c>
      <c r="I45" s="41"/>
      <c r="J45" s="88"/>
    </row>
    <row r="46" spans="1:10" hidden="1" x14ac:dyDescent="0.2">
      <c r="A46" s="86" t="s">
        <v>58</v>
      </c>
      <c r="B46" s="41" t="s">
        <v>32</v>
      </c>
      <c r="C46" s="41" t="s">
        <v>27</v>
      </c>
      <c r="D46" s="87">
        <v>0.67090000000000005</v>
      </c>
      <c r="E46" s="87">
        <v>0.33329999999999999</v>
      </c>
      <c r="F46" s="87">
        <v>0.44440000000000002</v>
      </c>
      <c r="G46" s="87">
        <v>0.38100000000000001</v>
      </c>
      <c r="H46" s="110">
        <v>0.59109999999999996</v>
      </c>
      <c r="I46" s="41"/>
      <c r="J46" s="88"/>
    </row>
    <row r="47" spans="1:10" x14ac:dyDescent="0.2">
      <c r="A47" s="74" t="s">
        <v>82</v>
      </c>
      <c r="B47" s="53" t="s">
        <v>32</v>
      </c>
      <c r="C47" s="53" t="s">
        <v>8</v>
      </c>
      <c r="D47" s="76">
        <v>0.92410000000000003</v>
      </c>
      <c r="E47" s="76">
        <v>0.75</v>
      </c>
      <c r="F47" s="76">
        <v>1</v>
      </c>
      <c r="G47" s="76">
        <v>0.85709999999999997</v>
      </c>
      <c r="H47" s="117">
        <v>0.92300000000000004</v>
      </c>
      <c r="I47" s="53"/>
      <c r="J47" s="75"/>
    </row>
    <row r="48" spans="1:10" hidden="1" x14ac:dyDescent="0.2">
      <c r="A48" s="92" t="s">
        <v>82</v>
      </c>
      <c r="B48" s="26" t="s">
        <v>32</v>
      </c>
      <c r="C48" s="26" t="s">
        <v>12</v>
      </c>
      <c r="D48" s="93">
        <v>0.84809999999999997</v>
      </c>
      <c r="E48" s="93">
        <v>0.6</v>
      </c>
      <c r="F48" s="93">
        <v>1</v>
      </c>
      <c r="G48" s="93">
        <v>0.75</v>
      </c>
      <c r="H48" s="112">
        <v>0.82150000000000001</v>
      </c>
      <c r="I48" s="26"/>
      <c r="J48" s="94"/>
    </row>
    <row r="49" spans="1:10" hidden="1" x14ac:dyDescent="0.2">
      <c r="A49" s="92" t="s">
        <v>82</v>
      </c>
      <c r="B49" s="26" t="s">
        <v>32</v>
      </c>
      <c r="C49" s="26" t="s">
        <v>18</v>
      </c>
      <c r="D49" s="93">
        <v>0.8861</v>
      </c>
      <c r="E49" s="93">
        <v>0.66669999999999996</v>
      </c>
      <c r="F49" s="93">
        <v>1</v>
      </c>
      <c r="G49" s="93">
        <v>0.8</v>
      </c>
      <c r="H49" s="112">
        <v>0.8679</v>
      </c>
      <c r="I49" s="26"/>
      <c r="J49" s="94"/>
    </row>
    <row r="50" spans="1:10" hidden="1" x14ac:dyDescent="0.2">
      <c r="A50" s="92" t="s">
        <v>82</v>
      </c>
      <c r="B50" s="26" t="s">
        <v>32</v>
      </c>
      <c r="C50" s="26" t="s">
        <v>24</v>
      </c>
      <c r="D50" s="93">
        <v>0.78480000000000005</v>
      </c>
      <c r="E50" s="93">
        <v>0.52629999999999999</v>
      </c>
      <c r="F50" s="93">
        <v>0.55559999999999998</v>
      </c>
      <c r="G50" s="93">
        <v>0.54049999999999998</v>
      </c>
      <c r="H50" s="112">
        <v>0.88519999999999999</v>
      </c>
      <c r="I50" s="26"/>
      <c r="J50" s="94"/>
    </row>
    <row r="51" spans="1:10" hidden="1" x14ac:dyDescent="0.2">
      <c r="A51" s="92" t="s">
        <v>82</v>
      </c>
      <c r="B51" s="26" t="s">
        <v>32</v>
      </c>
      <c r="C51" s="26" t="s">
        <v>27</v>
      </c>
      <c r="D51" s="93">
        <v>0.86080000000000001</v>
      </c>
      <c r="E51" s="93">
        <v>0.62960000000000005</v>
      </c>
      <c r="F51" s="93">
        <v>0.94440000000000002</v>
      </c>
      <c r="G51" s="93">
        <v>0.75560000000000005</v>
      </c>
      <c r="H51" s="112">
        <v>0.84970000000000001</v>
      </c>
      <c r="I51" s="26"/>
      <c r="J51" s="94"/>
    </row>
    <row r="52" spans="1:10" hidden="1" x14ac:dyDescent="0.2">
      <c r="A52" s="98" t="s">
        <v>99</v>
      </c>
      <c r="B52" s="47" t="s">
        <v>32</v>
      </c>
      <c r="C52" s="47" t="s">
        <v>8</v>
      </c>
      <c r="D52" s="99">
        <v>0.2278</v>
      </c>
      <c r="E52" s="99">
        <v>0.2278</v>
      </c>
      <c r="F52" s="99">
        <v>1</v>
      </c>
      <c r="G52" s="99">
        <v>0.37109999999999999</v>
      </c>
      <c r="H52" s="114">
        <v>0.5</v>
      </c>
      <c r="I52" s="47"/>
      <c r="J52" s="100"/>
    </row>
    <row r="53" spans="1:10" hidden="1" x14ac:dyDescent="0.2">
      <c r="A53" s="98" t="s">
        <v>99</v>
      </c>
      <c r="B53" s="47" t="s">
        <v>32</v>
      </c>
      <c r="C53" s="47" t="s">
        <v>12</v>
      </c>
      <c r="D53" s="99">
        <v>0.2278</v>
      </c>
      <c r="E53" s="99">
        <v>0.2278</v>
      </c>
      <c r="F53" s="99">
        <v>1</v>
      </c>
      <c r="G53" s="99">
        <v>0.37109999999999999</v>
      </c>
      <c r="H53" s="114">
        <v>0.5</v>
      </c>
      <c r="I53" s="47"/>
      <c r="J53" s="100"/>
    </row>
    <row r="54" spans="1:10" hidden="1" x14ac:dyDescent="0.2">
      <c r="A54" s="74" t="s">
        <v>99</v>
      </c>
      <c r="B54" s="53" t="s">
        <v>32</v>
      </c>
      <c r="C54" s="53" t="s">
        <v>18</v>
      </c>
      <c r="D54" s="76">
        <v>0.69620000000000004</v>
      </c>
      <c r="E54" s="76">
        <v>0.3125</v>
      </c>
      <c r="F54" s="76">
        <v>0.27779999999999999</v>
      </c>
      <c r="G54" s="76">
        <v>0.29409999999999997</v>
      </c>
      <c r="H54" s="117">
        <v>0.54869999999999997</v>
      </c>
      <c r="I54" s="53"/>
      <c r="J54" s="75"/>
    </row>
    <row r="55" spans="1:10" hidden="1" x14ac:dyDescent="0.2">
      <c r="A55" s="98" t="s">
        <v>99</v>
      </c>
      <c r="B55" s="47" t="s">
        <v>32</v>
      </c>
      <c r="C55" s="47" t="s">
        <v>24</v>
      </c>
      <c r="D55" s="99">
        <v>0.48099999999999998</v>
      </c>
      <c r="E55" s="99">
        <v>0.25530000000000003</v>
      </c>
      <c r="F55" s="99">
        <v>0.66669999999999996</v>
      </c>
      <c r="G55" s="99">
        <v>0.36919999999999997</v>
      </c>
      <c r="H55" s="114">
        <v>0.5464</v>
      </c>
      <c r="I55" s="47"/>
      <c r="J55" s="100"/>
    </row>
    <row r="56" spans="1:10" hidden="1" x14ac:dyDescent="0.2">
      <c r="A56" s="98" t="s">
        <v>99</v>
      </c>
      <c r="B56" s="47" t="s">
        <v>32</v>
      </c>
      <c r="C56" s="47" t="s">
        <v>27</v>
      </c>
      <c r="D56" s="99">
        <v>0.2278</v>
      </c>
      <c r="E56" s="99">
        <v>0.2278</v>
      </c>
      <c r="F56" s="99">
        <v>1</v>
      </c>
      <c r="G56" s="99">
        <v>0.37109999999999999</v>
      </c>
      <c r="H56" s="114">
        <v>0.5</v>
      </c>
      <c r="I56" s="47"/>
      <c r="J56" s="100"/>
    </row>
    <row r="57" spans="1:10" hidden="1" x14ac:dyDescent="0.2">
      <c r="A57" s="101" t="s">
        <v>119</v>
      </c>
      <c r="B57" s="102" t="s">
        <v>32</v>
      </c>
      <c r="C57" s="102" t="s">
        <v>8</v>
      </c>
      <c r="D57" s="103">
        <v>0.26579999999999998</v>
      </c>
      <c r="E57" s="103">
        <v>0.21429999999999999</v>
      </c>
      <c r="F57" s="103">
        <v>0.83330000000000004</v>
      </c>
      <c r="G57" s="103">
        <v>0.34089999999999998</v>
      </c>
      <c r="H57" s="115">
        <v>0.46579999999999999</v>
      </c>
      <c r="I57" s="102"/>
      <c r="J57" s="104"/>
    </row>
    <row r="58" spans="1:10" hidden="1" x14ac:dyDescent="0.2">
      <c r="A58" s="101" t="s">
        <v>119</v>
      </c>
      <c r="B58" s="102" t="s">
        <v>32</v>
      </c>
      <c r="C58" s="102" t="s">
        <v>12</v>
      </c>
      <c r="D58" s="103">
        <v>0.2278</v>
      </c>
      <c r="E58" s="103">
        <v>0.2278</v>
      </c>
      <c r="F58" s="103">
        <v>1</v>
      </c>
      <c r="G58" s="103">
        <v>0.37109999999999999</v>
      </c>
      <c r="H58" s="115">
        <v>0.5</v>
      </c>
      <c r="I58" s="102"/>
      <c r="J58" s="104"/>
    </row>
    <row r="59" spans="1:10" hidden="1" x14ac:dyDescent="0.2">
      <c r="A59" s="74" t="s">
        <v>119</v>
      </c>
      <c r="B59" s="53" t="s">
        <v>32</v>
      </c>
      <c r="C59" s="53" t="s">
        <v>18</v>
      </c>
      <c r="D59" s="76">
        <v>0.69620000000000004</v>
      </c>
      <c r="E59" s="76">
        <v>0.3125</v>
      </c>
      <c r="F59" s="76">
        <v>0.27779999999999999</v>
      </c>
      <c r="G59" s="76">
        <v>0.29409999999999997</v>
      </c>
      <c r="H59" s="117">
        <v>0.54869999999999997</v>
      </c>
      <c r="I59" s="53"/>
      <c r="J59" s="75"/>
    </row>
    <row r="60" spans="1:10" hidden="1" x14ac:dyDescent="0.2">
      <c r="A60" s="101" t="s">
        <v>119</v>
      </c>
      <c r="B60" s="102" t="s">
        <v>32</v>
      </c>
      <c r="C60" s="102" t="s">
        <v>24</v>
      </c>
      <c r="D60" s="103">
        <v>0.2278</v>
      </c>
      <c r="E60" s="103">
        <v>0.2278</v>
      </c>
      <c r="F60" s="103">
        <v>1</v>
      </c>
      <c r="G60" s="103">
        <v>0.37109999999999999</v>
      </c>
      <c r="H60" s="115">
        <v>0.5</v>
      </c>
      <c r="I60" s="102"/>
      <c r="J60" s="104"/>
    </row>
    <row r="61" spans="1:10" hidden="1" x14ac:dyDescent="0.2">
      <c r="A61" s="101" t="s">
        <v>119</v>
      </c>
      <c r="B61" s="102" t="s">
        <v>32</v>
      </c>
      <c r="C61" s="102" t="s">
        <v>27</v>
      </c>
      <c r="D61" s="103">
        <v>0.27850000000000003</v>
      </c>
      <c r="E61" s="103">
        <v>0.21740000000000001</v>
      </c>
      <c r="F61" s="103">
        <v>0.83330000000000004</v>
      </c>
      <c r="G61" s="103">
        <v>0.3448</v>
      </c>
      <c r="H61" s="115">
        <v>0.47399999999999998</v>
      </c>
      <c r="I61" s="102"/>
      <c r="J61" s="104"/>
    </row>
    <row r="62" spans="1:10" hidden="1" x14ac:dyDescent="0.2">
      <c r="A62" s="95" t="s">
        <v>135</v>
      </c>
      <c r="B62" s="29" t="s">
        <v>32</v>
      </c>
      <c r="C62" s="29" t="s">
        <v>8</v>
      </c>
      <c r="D62" s="96">
        <v>0.7722</v>
      </c>
      <c r="E62" s="96">
        <v>0</v>
      </c>
      <c r="F62" s="96">
        <v>0</v>
      </c>
      <c r="G62" s="96">
        <v>0</v>
      </c>
      <c r="H62" s="113">
        <v>0.5</v>
      </c>
      <c r="I62" s="29"/>
      <c r="J62" s="97"/>
    </row>
    <row r="63" spans="1:10" x14ac:dyDescent="0.2">
      <c r="A63" s="74" t="s">
        <v>135</v>
      </c>
      <c r="B63" s="53" t="s">
        <v>32</v>
      </c>
      <c r="C63" s="53" t="s">
        <v>12</v>
      </c>
      <c r="D63" s="76">
        <v>0.73419999999999996</v>
      </c>
      <c r="E63" s="76">
        <v>0</v>
      </c>
      <c r="F63" s="76">
        <v>0</v>
      </c>
      <c r="G63" s="76">
        <v>0</v>
      </c>
      <c r="H63" s="117">
        <v>0.93440000000000001</v>
      </c>
      <c r="I63" s="53"/>
      <c r="J63" s="75"/>
    </row>
    <row r="64" spans="1:10" hidden="1" x14ac:dyDescent="0.2">
      <c r="A64" s="95" t="s">
        <v>135</v>
      </c>
      <c r="B64" s="29" t="s">
        <v>32</v>
      </c>
      <c r="C64" s="29" t="s">
        <v>18</v>
      </c>
      <c r="D64" s="96">
        <v>0.69620000000000004</v>
      </c>
      <c r="E64" s="96">
        <v>0.28570000000000001</v>
      </c>
      <c r="F64" s="96">
        <v>0.22220000000000001</v>
      </c>
      <c r="G64" s="96">
        <v>0.25</v>
      </c>
      <c r="H64" s="113">
        <v>0.83150000000000002</v>
      </c>
      <c r="I64" s="29"/>
      <c r="J64" s="97"/>
    </row>
    <row r="65" spans="1:10" hidden="1" x14ac:dyDescent="0.2">
      <c r="A65" s="95" t="s">
        <v>135</v>
      </c>
      <c r="B65" s="29" t="s">
        <v>32</v>
      </c>
      <c r="C65" s="29" t="s">
        <v>24</v>
      </c>
      <c r="D65" s="96">
        <v>0.62029999999999996</v>
      </c>
      <c r="E65" s="96">
        <v>0.28570000000000001</v>
      </c>
      <c r="F65" s="96">
        <v>0.44440000000000002</v>
      </c>
      <c r="G65" s="96">
        <v>0.3478</v>
      </c>
      <c r="H65" s="113">
        <v>0.7268</v>
      </c>
      <c r="I65" s="29"/>
      <c r="J65" s="97"/>
    </row>
    <row r="66" spans="1:10" hidden="1" x14ac:dyDescent="0.2">
      <c r="A66" s="95" t="s">
        <v>135</v>
      </c>
      <c r="B66" s="29" t="s">
        <v>32</v>
      </c>
      <c r="C66" s="29" t="s">
        <v>27</v>
      </c>
      <c r="D66" s="96">
        <v>0.2278</v>
      </c>
      <c r="E66" s="96">
        <v>0.2278</v>
      </c>
      <c r="F66" s="96">
        <v>1</v>
      </c>
      <c r="G66" s="96">
        <v>0.37109999999999999</v>
      </c>
      <c r="H66" s="113">
        <v>0.5</v>
      </c>
      <c r="I66" s="29"/>
      <c r="J66" s="97"/>
    </row>
    <row r="67" spans="1:10" x14ac:dyDescent="0.2">
      <c r="A67" s="74" t="s">
        <v>160</v>
      </c>
      <c r="B67" s="53" t="s">
        <v>32</v>
      </c>
      <c r="C67" s="53" t="s">
        <v>8</v>
      </c>
      <c r="D67" s="76">
        <v>0.89870000000000005</v>
      </c>
      <c r="E67" s="76">
        <v>0.70830000000000004</v>
      </c>
      <c r="F67" s="76">
        <v>0.94440000000000002</v>
      </c>
      <c r="G67" s="76">
        <v>0.8095</v>
      </c>
      <c r="H67" s="117">
        <v>0.92900000000000005</v>
      </c>
      <c r="I67" s="53"/>
      <c r="J67" s="75"/>
    </row>
    <row r="68" spans="1:10" hidden="1" x14ac:dyDescent="0.2">
      <c r="A68" s="92" t="s">
        <v>160</v>
      </c>
      <c r="B68" s="26" t="s">
        <v>32</v>
      </c>
      <c r="C68" s="26" t="s">
        <v>12</v>
      </c>
      <c r="D68" s="93">
        <v>0.8861</v>
      </c>
      <c r="E68" s="93">
        <v>0.66669999999999996</v>
      </c>
      <c r="F68" s="93">
        <v>1</v>
      </c>
      <c r="G68" s="93">
        <v>0.8</v>
      </c>
      <c r="H68" s="112">
        <v>0.87519999999999998</v>
      </c>
      <c r="I68" s="26"/>
      <c r="J68" s="94"/>
    </row>
    <row r="69" spans="1:10" hidden="1" x14ac:dyDescent="0.2">
      <c r="A69" s="92" t="s">
        <v>160</v>
      </c>
      <c r="B69" s="26" t="s">
        <v>32</v>
      </c>
      <c r="C69" s="26" t="s">
        <v>18</v>
      </c>
      <c r="D69" s="93">
        <v>0.84809999999999997</v>
      </c>
      <c r="E69" s="93">
        <v>0.625</v>
      </c>
      <c r="F69" s="93">
        <v>0.83330000000000004</v>
      </c>
      <c r="G69" s="93">
        <v>0.71430000000000005</v>
      </c>
      <c r="H69" s="112">
        <v>0.89249999999999996</v>
      </c>
      <c r="I69" s="26"/>
      <c r="J69" s="94"/>
    </row>
    <row r="70" spans="1:10" hidden="1" x14ac:dyDescent="0.2">
      <c r="A70" s="92" t="s">
        <v>160</v>
      </c>
      <c r="B70" s="26" t="s">
        <v>32</v>
      </c>
      <c r="C70" s="26" t="s">
        <v>24</v>
      </c>
      <c r="D70" s="93">
        <v>0.8861</v>
      </c>
      <c r="E70" s="93">
        <v>0.69569999999999999</v>
      </c>
      <c r="F70" s="93">
        <v>0.88890000000000002</v>
      </c>
      <c r="G70" s="93">
        <v>0.78049999999999997</v>
      </c>
      <c r="H70" s="112">
        <v>0.90210000000000001</v>
      </c>
      <c r="I70" s="26"/>
      <c r="J70" s="94"/>
    </row>
    <row r="71" spans="1:10" hidden="1" x14ac:dyDescent="0.2">
      <c r="A71" s="105" t="s">
        <v>160</v>
      </c>
      <c r="B71" s="55" t="s">
        <v>32</v>
      </c>
      <c r="C71" s="55" t="s">
        <v>27</v>
      </c>
      <c r="D71" s="106">
        <v>0.89870000000000005</v>
      </c>
      <c r="E71" s="106">
        <v>0.72729999999999995</v>
      </c>
      <c r="F71" s="106">
        <v>0.88890000000000002</v>
      </c>
      <c r="G71" s="106">
        <v>0.8</v>
      </c>
      <c r="H71" s="116">
        <v>0.90759999999999996</v>
      </c>
      <c r="I71" s="55"/>
      <c r="J71" s="107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498B4-F2BA-1D48-AEA3-AF44B9F20F2D}">
  <dimension ref="A1:O9"/>
  <sheetViews>
    <sheetView workbookViewId="0">
      <selection activeCell="I1" sqref="I1:M1"/>
    </sheetView>
  </sheetViews>
  <sheetFormatPr baseColWidth="10" defaultRowHeight="16" x14ac:dyDescent="0.2"/>
  <cols>
    <col min="1" max="1" width="18.1640625" bestFit="1" customWidth="1"/>
    <col min="2" max="2" width="14" customWidth="1"/>
    <col min="3" max="3" width="16.6640625" bestFit="1" customWidth="1"/>
    <col min="4" max="4" width="19.5" customWidth="1"/>
    <col min="5" max="5" width="19.6640625" customWidth="1"/>
    <col min="6" max="6" width="17" customWidth="1"/>
    <col min="7" max="7" width="18.83203125" customWidth="1"/>
    <col min="8" max="8" width="19.6640625" customWidth="1"/>
    <col min="9" max="13" width="20.83203125" bestFit="1" customWidth="1"/>
    <col min="14" max="14" width="32.83203125" customWidth="1"/>
    <col min="15" max="15" width="34.83203125" customWidth="1"/>
  </cols>
  <sheetData>
    <row r="1" spans="1:15" ht="17" thickBot="1" x14ac:dyDescent="0.25">
      <c r="A1" s="56" t="s">
        <v>29</v>
      </c>
      <c r="B1" s="57" t="s">
        <v>30</v>
      </c>
      <c r="C1" s="57" t="s">
        <v>0</v>
      </c>
      <c r="D1" s="57" t="s">
        <v>306</v>
      </c>
      <c r="E1" s="57" t="s">
        <v>307</v>
      </c>
      <c r="F1" s="57" t="s">
        <v>308</v>
      </c>
      <c r="G1" s="57" t="s">
        <v>309</v>
      </c>
      <c r="H1" s="57" t="s">
        <v>310</v>
      </c>
      <c r="I1" s="57" t="s">
        <v>3</v>
      </c>
      <c r="J1" s="57" t="s">
        <v>4</v>
      </c>
      <c r="K1" s="57" t="s">
        <v>5</v>
      </c>
      <c r="L1" s="57" t="s">
        <v>6</v>
      </c>
      <c r="M1" s="57" t="s">
        <v>7</v>
      </c>
      <c r="N1" s="57" t="s">
        <v>1</v>
      </c>
      <c r="O1" s="58" t="s">
        <v>2</v>
      </c>
    </row>
    <row r="2" spans="1:15" x14ac:dyDescent="0.2">
      <c r="A2" s="59" t="s">
        <v>31</v>
      </c>
      <c r="B2" s="60" t="s">
        <v>32</v>
      </c>
      <c r="C2" s="60" t="s">
        <v>18</v>
      </c>
      <c r="D2" s="61">
        <v>0.92330000000000001</v>
      </c>
      <c r="E2" s="61">
        <v>0.80100000000000005</v>
      </c>
      <c r="F2" s="61">
        <v>0.88670000000000004</v>
      </c>
      <c r="G2" s="61">
        <v>0.83950000000000002</v>
      </c>
      <c r="H2" s="77">
        <v>0.94630000000000003</v>
      </c>
      <c r="I2" s="60" t="s">
        <v>19</v>
      </c>
      <c r="J2" s="60" t="s">
        <v>20</v>
      </c>
      <c r="K2" s="60" t="s">
        <v>21</v>
      </c>
      <c r="L2" s="60" t="s">
        <v>22</v>
      </c>
      <c r="M2" s="60" t="s">
        <v>23</v>
      </c>
      <c r="N2" s="60">
        <v>0.40329999999999999</v>
      </c>
      <c r="O2" s="62">
        <v>0.72499999999999998</v>
      </c>
    </row>
    <row r="3" spans="1:15" x14ac:dyDescent="0.2">
      <c r="A3" s="63" t="s">
        <v>82</v>
      </c>
      <c r="B3" s="64" t="s">
        <v>32</v>
      </c>
      <c r="C3" s="64" t="s">
        <v>8</v>
      </c>
      <c r="D3" s="65">
        <v>0.92369999999999997</v>
      </c>
      <c r="E3" s="65">
        <v>0.74909999999999999</v>
      </c>
      <c r="F3" s="65">
        <v>1</v>
      </c>
      <c r="G3" s="65">
        <v>0.85470000000000002</v>
      </c>
      <c r="H3" s="78">
        <v>0.92300000000000004</v>
      </c>
      <c r="I3" s="64" t="s">
        <v>59</v>
      </c>
      <c r="J3" s="64" t="s">
        <v>60</v>
      </c>
      <c r="K3" s="64" t="s">
        <v>61</v>
      </c>
      <c r="L3" s="64" t="s">
        <v>62</v>
      </c>
      <c r="M3" s="64" t="s">
        <v>63</v>
      </c>
      <c r="N3" s="64">
        <v>0.59109999999999996</v>
      </c>
      <c r="O3" s="66">
        <v>0.7</v>
      </c>
    </row>
    <row r="4" spans="1:15" x14ac:dyDescent="0.2">
      <c r="A4" s="63" t="s">
        <v>135</v>
      </c>
      <c r="B4" s="64" t="s">
        <v>32</v>
      </c>
      <c r="C4" s="64" t="s">
        <v>18</v>
      </c>
      <c r="D4" s="65">
        <v>0.69589999999999996</v>
      </c>
      <c r="E4" s="65">
        <v>0.28370000000000001</v>
      </c>
      <c r="F4" s="65">
        <v>0.2228</v>
      </c>
      <c r="G4" s="65">
        <v>0.24610000000000001</v>
      </c>
      <c r="H4" s="78">
        <v>0.83109999999999995</v>
      </c>
      <c r="I4" s="64" t="s">
        <v>123</v>
      </c>
      <c r="J4" s="64" t="s">
        <v>124</v>
      </c>
      <c r="K4" s="64" t="s">
        <v>125</v>
      </c>
      <c r="L4" s="64" t="s">
        <v>126</v>
      </c>
      <c r="M4" s="64" t="s">
        <v>127</v>
      </c>
      <c r="N4" s="64">
        <v>0.57840000000000003</v>
      </c>
      <c r="O4" s="66">
        <v>1</v>
      </c>
    </row>
    <row r="5" spans="1:15" x14ac:dyDescent="0.2">
      <c r="A5" s="63" t="s">
        <v>160</v>
      </c>
      <c r="B5" s="64" t="s">
        <v>32</v>
      </c>
      <c r="C5" s="64" t="s">
        <v>8</v>
      </c>
      <c r="D5" s="65">
        <v>0.8982</v>
      </c>
      <c r="E5" s="65">
        <v>0.70750000000000002</v>
      </c>
      <c r="F5" s="65">
        <v>0.94389999999999996</v>
      </c>
      <c r="G5" s="65">
        <v>0.80630000000000002</v>
      </c>
      <c r="H5" s="78">
        <v>0.9294</v>
      </c>
      <c r="I5" s="64" t="s">
        <v>136</v>
      </c>
      <c r="J5" s="64" t="s">
        <v>137</v>
      </c>
      <c r="K5" s="64" t="s">
        <v>138</v>
      </c>
      <c r="L5" s="64" t="s">
        <v>139</v>
      </c>
      <c r="M5" s="64" t="s">
        <v>140</v>
      </c>
      <c r="N5" s="64">
        <v>0.55010000000000003</v>
      </c>
      <c r="O5" s="66">
        <v>0.67500000000000004</v>
      </c>
    </row>
    <row r="6" spans="1:15" x14ac:dyDescent="0.2">
      <c r="A6" s="63" t="s">
        <v>31</v>
      </c>
      <c r="B6" s="64" t="s">
        <v>203</v>
      </c>
      <c r="C6" s="64" t="s">
        <v>12</v>
      </c>
      <c r="D6" s="65">
        <v>0.84450000000000003</v>
      </c>
      <c r="E6" s="65">
        <v>0.9153</v>
      </c>
      <c r="F6" s="65">
        <v>0.78590000000000004</v>
      </c>
      <c r="G6" s="65">
        <v>0.84560000000000002</v>
      </c>
      <c r="H6" s="78">
        <v>0.89</v>
      </c>
      <c r="I6" s="64" t="s">
        <v>162</v>
      </c>
      <c r="J6" s="64" t="s">
        <v>163</v>
      </c>
      <c r="K6" s="64" t="s">
        <v>164</v>
      </c>
      <c r="L6" s="64" t="s">
        <v>165</v>
      </c>
      <c r="M6" s="64" t="s">
        <v>166</v>
      </c>
      <c r="N6" s="64"/>
      <c r="O6" s="66"/>
    </row>
    <row r="7" spans="1:15" x14ac:dyDescent="0.2">
      <c r="A7" s="63" t="s">
        <v>82</v>
      </c>
      <c r="B7" s="64" t="s">
        <v>203</v>
      </c>
      <c r="C7" s="64" t="s">
        <v>8</v>
      </c>
      <c r="D7" s="65">
        <v>0.80459999999999998</v>
      </c>
      <c r="E7" s="65">
        <v>0.83399999999999996</v>
      </c>
      <c r="F7" s="65">
        <v>0.79869999999999997</v>
      </c>
      <c r="G7" s="65">
        <v>0.81589999999999996</v>
      </c>
      <c r="H7" s="78">
        <v>0.87780000000000002</v>
      </c>
      <c r="I7" s="64" t="s">
        <v>204</v>
      </c>
      <c r="J7" s="64" t="s">
        <v>205</v>
      </c>
      <c r="K7" s="64" t="s">
        <v>206</v>
      </c>
      <c r="L7" s="64" t="s">
        <v>207</v>
      </c>
      <c r="M7" s="64" t="s">
        <v>208</v>
      </c>
      <c r="N7" s="64"/>
      <c r="O7" s="66"/>
    </row>
    <row r="8" spans="1:15" x14ac:dyDescent="0.2">
      <c r="A8" s="63" t="s">
        <v>135</v>
      </c>
      <c r="B8" s="64" t="s">
        <v>203</v>
      </c>
      <c r="C8" s="64" t="s">
        <v>18</v>
      </c>
      <c r="D8" s="65">
        <v>0.76880000000000004</v>
      </c>
      <c r="E8" s="65">
        <v>0.7571</v>
      </c>
      <c r="F8" s="65">
        <v>0.84379999999999999</v>
      </c>
      <c r="G8" s="65">
        <v>0.79800000000000004</v>
      </c>
      <c r="H8" s="78">
        <v>0.87270000000000003</v>
      </c>
      <c r="I8" s="64" t="s">
        <v>294</v>
      </c>
      <c r="J8" s="64" t="s">
        <v>295</v>
      </c>
      <c r="K8" s="64" t="s">
        <v>296</v>
      </c>
      <c r="L8" s="64" t="s">
        <v>297</v>
      </c>
      <c r="M8" s="64" t="s">
        <v>298</v>
      </c>
      <c r="N8" s="64"/>
      <c r="O8" s="66"/>
    </row>
    <row r="9" spans="1:15" x14ac:dyDescent="0.2">
      <c r="A9" s="67" t="s">
        <v>160</v>
      </c>
      <c r="B9" s="68" t="s">
        <v>203</v>
      </c>
      <c r="C9" s="68" t="s">
        <v>8</v>
      </c>
      <c r="D9" s="69">
        <v>0.84189999999999998</v>
      </c>
      <c r="E9" s="69">
        <v>0.87450000000000006</v>
      </c>
      <c r="F9" s="69">
        <v>0.82530000000000003</v>
      </c>
      <c r="G9" s="69">
        <v>0.84909999999999997</v>
      </c>
      <c r="H9" s="79">
        <v>0.93310000000000004</v>
      </c>
      <c r="I9" s="68" t="s">
        <v>263</v>
      </c>
      <c r="J9" s="68" t="s">
        <v>264</v>
      </c>
      <c r="K9" s="68" t="s">
        <v>265</v>
      </c>
      <c r="L9" s="68" t="s">
        <v>266</v>
      </c>
      <c r="M9" s="68" t="s">
        <v>267</v>
      </c>
      <c r="N9" s="68"/>
      <c r="O9" s="70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6DB46-77BC-8146-B097-A5C20AB18498}">
  <dimension ref="A1:P17"/>
  <sheetViews>
    <sheetView tabSelected="1" workbookViewId="0">
      <selection activeCell="E27" sqref="E27"/>
    </sheetView>
  </sheetViews>
  <sheetFormatPr baseColWidth="10" defaultRowHeight="16" x14ac:dyDescent="0.2"/>
  <cols>
    <col min="1" max="1" width="18.1640625" bestFit="1" customWidth="1"/>
    <col min="2" max="2" width="15.1640625" customWidth="1"/>
    <col min="3" max="3" width="14" customWidth="1"/>
    <col min="4" max="4" width="16.6640625" bestFit="1" customWidth="1"/>
    <col min="5" max="5" width="11.1640625" customWidth="1"/>
    <col min="6" max="6" width="11.33203125" customWidth="1"/>
    <col min="7" max="7" width="8.6640625" customWidth="1"/>
    <col min="8" max="8" width="10.5" customWidth="1"/>
    <col min="9" max="9" width="11.33203125" customWidth="1"/>
    <col min="10" max="10" width="32.83203125" customWidth="1"/>
    <col min="11" max="11" width="34.83203125" customWidth="1"/>
    <col min="12" max="16" width="20.83203125" bestFit="1" customWidth="1"/>
  </cols>
  <sheetData>
    <row r="1" spans="1:16" s="122" customFormat="1" x14ac:dyDescent="0.2">
      <c r="A1" s="118" t="s">
        <v>29</v>
      </c>
      <c r="B1" s="119" t="s">
        <v>316</v>
      </c>
      <c r="C1" s="119" t="s">
        <v>30</v>
      </c>
      <c r="D1" s="119" t="s">
        <v>0</v>
      </c>
      <c r="E1" s="119" t="s">
        <v>311</v>
      </c>
      <c r="F1" s="119" t="s">
        <v>312</v>
      </c>
      <c r="G1" s="119" t="s">
        <v>313</v>
      </c>
      <c r="H1" s="119" t="s">
        <v>314</v>
      </c>
      <c r="I1" s="119" t="s">
        <v>315</v>
      </c>
      <c r="J1" s="119" t="s">
        <v>1</v>
      </c>
      <c r="K1" s="119" t="s">
        <v>2</v>
      </c>
      <c r="L1" s="120" t="s">
        <v>3</v>
      </c>
      <c r="M1" s="120" t="s">
        <v>4</v>
      </c>
      <c r="N1" s="120" t="s">
        <v>5</v>
      </c>
      <c r="O1" s="120" t="s">
        <v>6</v>
      </c>
      <c r="P1" s="121" t="s">
        <v>7</v>
      </c>
    </row>
    <row r="2" spans="1:16" x14ac:dyDescent="0.2">
      <c r="A2" s="140" t="s">
        <v>31</v>
      </c>
      <c r="B2" s="141" t="s">
        <v>203</v>
      </c>
      <c r="C2" s="141" t="s">
        <v>32</v>
      </c>
      <c r="D2" s="141" t="s">
        <v>18</v>
      </c>
      <c r="E2" s="142">
        <v>0.92410000000000003</v>
      </c>
      <c r="F2" s="142">
        <v>0.8</v>
      </c>
      <c r="G2" s="142">
        <v>0.88890000000000002</v>
      </c>
      <c r="H2" s="142">
        <v>0.84209999999999996</v>
      </c>
      <c r="I2" s="143">
        <v>0.94669999999999999</v>
      </c>
      <c r="J2" s="143">
        <v>0.40329999999999999</v>
      </c>
      <c r="K2" s="143">
        <v>0.72499999999999998</v>
      </c>
      <c r="L2" s="141" t="s">
        <v>317</v>
      </c>
      <c r="M2" s="141" t="s">
        <v>317</v>
      </c>
      <c r="N2" s="141" t="s">
        <v>317</v>
      </c>
      <c r="O2" s="141" t="s">
        <v>317</v>
      </c>
      <c r="P2" s="144" t="s">
        <v>317</v>
      </c>
    </row>
    <row r="3" spans="1:16" x14ac:dyDescent="0.2">
      <c r="A3" s="140" t="s">
        <v>82</v>
      </c>
      <c r="B3" s="141" t="s">
        <v>203</v>
      </c>
      <c r="C3" s="141" t="s">
        <v>32</v>
      </c>
      <c r="D3" s="141" t="s">
        <v>8</v>
      </c>
      <c r="E3" s="142">
        <v>0.92410000000000003</v>
      </c>
      <c r="F3" s="142">
        <v>0.75</v>
      </c>
      <c r="G3" s="142">
        <v>1</v>
      </c>
      <c r="H3" s="142">
        <v>0.85709999999999997</v>
      </c>
      <c r="I3" s="143">
        <v>0.92300000000000004</v>
      </c>
      <c r="J3" s="143">
        <v>0.59109999999999996</v>
      </c>
      <c r="K3" s="143">
        <v>0.7</v>
      </c>
      <c r="L3" s="141" t="s">
        <v>317</v>
      </c>
      <c r="M3" s="141" t="s">
        <v>317</v>
      </c>
      <c r="N3" s="141" t="s">
        <v>317</v>
      </c>
      <c r="O3" s="141" t="s">
        <v>317</v>
      </c>
      <c r="P3" s="144" t="s">
        <v>317</v>
      </c>
    </row>
    <row r="4" spans="1:16" x14ac:dyDescent="0.2">
      <c r="A4" s="140" t="s">
        <v>135</v>
      </c>
      <c r="B4" s="141" t="s">
        <v>203</v>
      </c>
      <c r="C4" s="141" t="s">
        <v>32</v>
      </c>
      <c r="D4" s="141" t="s">
        <v>18</v>
      </c>
      <c r="E4" s="142">
        <v>0.69620000000000004</v>
      </c>
      <c r="F4" s="142">
        <v>0.28570000000000001</v>
      </c>
      <c r="G4" s="142">
        <v>0.22220000000000001</v>
      </c>
      <c r="H4" s="142">
        <v>0.25</v>
      </c>
      <c r="I4" s="143">
        <v>0.83150000000000002</v>
      </c>
      <c r="J4" s="143">
        <v>0.57840000000000003</v>
      </c>
      <c r="K4" s="143">
        <v>1</v>
      </c>
      <c r="L4" s="141" t="s">
        <v>317</v>
      </c>
      <c r="M4" s="141" t="s">
        <v>317</v>
      </c>
      <c r="N4" s="141" t="s">
        <v>317</v>
      </c>
      <c r="O4" s="141" t="s">
        <v>317</v>
      </c>
      <c r="P4" s="144" t="s">
        <v>317</v>
      </c>
    </row>
    <row r="5" spans="1:16" x14ac:dyDescent="0.2">
      <c r="A5" s="140" t="s">
        <v>160</v>
      </c>
      <c r="B5" s="141" t="s">
        <v>203</v>
      </c>
      <c r="C5" s="141" t="s">
        <v>32</v>
      </c>
      <c r="D5" s="141" t="s">
        <v>8</v>
      </c>
      <c r="E5" s="142">
        <v>0.89870000000000005</v>
      </c>
      <c r="F5" s="142">
        <v>0.70830000000000004</v>
      </c>
      <c r="G5" s="142">
        <v>0.94440000000000002</v>
      </c>
      <c r="H5" s="142">
        <v>0.8095</v>
      </c>
      <c r="I5" s="143">
        <v>0.92900000000000005</v>
      </c>
      <c r="J5" s="143">
        <v>0.55010000000000003</v>
      </c>
      <c r="K5" s="143">
        <v>0.67500000000000004</v>
      </c>
      <c r="L5" s="141" t="s">
        <v>317</v>
      </c>
      <c r="M5" s="141" t="s">
        <v>317</v>
      </c>
      <c r="N5" s="141" t="s">
        <v>317</v>
      </c>
      <c r="O5" s="141" t="s">
        <v>317</v>
      </c>
      <c r="P5" s="144" t="s">
        <v>317</v>
      </c>
    </row>
    <row r="6" spans="1:16" x14ac:dyDescent="0.2">
      <c r="A6" s="140" t="s">
        <v>31</v>
      </c>
      <c r="B6" s="141" t="s">
        <v>203</v>
      </c>
      <c r="C6" s="141" t="s">
        <v>203</v>
      </c>
      <c r="D6" s="141" t="s">
        <v>12</v>
      </c>
      <c r="E6" s="142">
        <v>0.84440000000000004</v>
      </c>
      <c r="F6" s="142">
        <v>0.91520000000000001</v>
      </c>
      <c r="G6" s="142">
        <v>0.78569999999999995</v>
      </c>
      <c r="H6" s="142">
        <v>0.84550000000000003</v>
      </c>
      <c r="I6" s="143">
        <v>0.89</v>
      </c>
      <c r="J6" s="141" t="s">
        <v>317</v>
      </c>
      <c r="K6" s="141" t="s">
        <v>317</v>
      </c>
      <c r="L6" s="141" t="s">
        <v>317</v>
      </c>
      <c r="M6" s="141" t="s">
        <v>317</v>
      </c>
      <c r="N6" s="141" t="s">
        <v>317</v>
      </c>
      <c r="O6" s="141" t="s">
        <v>317</v>
      </c>
      <c r="P6" s="144" t="s">
        <v>317</v>
      </c>
    </row>
    <row r="7" spans="1:16" x14ac:dyDescent="0.2">
      <c r="A7" s="140" t="s">
        <v>82</v>
      </c>
      <c r="B7" s="141" t="s">
        <v>203</v>
      </c>
      <c r="C7" s="141" t="s">
        <v>203</v>
      </c>
      <c r="D7" s="141" t="s">
        <v>18</v>
      </c>
      <c r="E7" s="142">
        <v>0.81159999999999999</v>
      </c>
      <c r="F7" s="142">
        <v>0.87050000000000005</v>
      </c>
      <c r="G7" s="142">
        <v>0.76649999999999996</v>
      </c>
      <c r="H7" s="142">
        <v>0.81520000000000004</v>
      </c>
      <c r="I7" s="143">
        <v>0.87649999999999995</v>
      </c>
      <c r="J7" s="141" t="s">
        <v>317</v>
      </c>
      <c r="K7" s="141" t="s">
        <v>317</v>
      </c>
      <c r="L7" s="141" t="s">
        <v>317</v>
      </c>
      <c r="M7" s="141" t="s">
        <v>317</v>
      </c>
      <c r="N7" s="141" t="s">
        <v>317</v>
      </c>
      <c r="O7" s="141" t="s">
        <v>317</v>
      </c>
      <c r="P7" s="144" t="s">
        <v>317</v>
      </c>
    </row>
    <row r="8" spans="1:16" x14ac:dyDescent="0.2">
      <c r="A8" s="140" t="s">
        <v>135</v>
      </c>
      <c r="B8" s="141" t="s">
        <v>203</v>
      </c>
      <c r="C8" s="141" t="s">
        <v>203</v>
      </c>
      <c r="D8" s="141" t="s">
        <v>18</v>
      </c>
      <c r="E8" s="142">
        <v>0.76839999999999997</v>
      </c>
      <c r="F8" s="142">
        <v>0.7571</v>
      </c>
      <c r="G8" s="142">
        <v>0.84340000000000004</v>
      </c>
      <c r="H8" s="142">
        <v>0.79790000000000005</v>
      </c>
      <c r="I8" s="143">
        <v>0.87270000000000003</v>
      </c>
      <c r="J8" s="141" t="s">
        <v>317</v>
      </c>
      <c r="K8" s="141" t="s">
        <v>317</v>
      </c>
      <c r="L8" s="141" t="s">
        <v>317</v>
      </c>
      <c r="M8" s="141" t="s">
        <v>317</v>
      </c>
      <c r="N8" s="141" t="s">
        <v>317</v>
      </c>
      <c r="O8" s="141" t="s">
        <v>317</v>
      </c>
      <c r="P8" s="144" t="s">
        <v>317</v>
      </c>
    </row>
    <row r="9" spans="1:16" x14ac:dyDescent="0.2">
      <c r="A9" s="140" t="s">
        <v>160</v>
      </c>
      <c r="B9" s="141" t="s">
        <v>203</v>
      </c>
      <c r="C9" s="141" t="s">
        <v>203</v>
      </c>
      <c r="D9" s="141" t="s">
        <v>8</v>
      </c>
      <c r="E9" s="142">
        <v>0.84189999999999998</v>
      </c>
      <c r="F9" s="142">
        <v>0.87480000000000002</v>
      </c>
      <c r="G9" s="142">
        <v>0.82499999999999996</v>
      </c>
      <c r="H9" s="142">
        <v>0.84919999999999995</v>
      </c>
      <c r="I9" s="143">
        <v>0.93300000000000005</v>
      </c>
      <c r="J9" s="141" t="s">
        <v>317</v>
      </c>
      <c r="K9" s="141" t="s">
        <v>317</v>
      </c>
      <c r="L9" s="141" t="s">
        <v>317</v>
      </c>
      <c r="M9" s="141" t="s">
        <v>317</v>
      </c>
      <c r="N9" s="141" t="s">
        <v>317</v>
      </c>
      <c r="O9" s="141" t="s">
        <v>317</v>
      </c>
      <c r="P9" s="144" t="s">
        <v>317</v>
      </c>
    </row>
    <row r="10" spans="1:16" x14ac:dyDescent="0.2">
      <c r="A10" s="123" t="s">
        <v>31</v>
      </c>
      <c r="B10" s="124" t="s">
        <v>32</v>
      </c>
      <c r="C10" s="125" t="s">
        <v>32</v>
      </c>
      <c r="D10" s="125" t="s">
        <v>18</v>
      </c>
      <c r="E10" s="126">
        <v>0.92330000000000001</v>
      </c>
      <c r="F10" s="126">
        <v>0.80100000000000005</v>
      </c>
      <c r="G10" s="126">
        <v>0.88670000000000004</v>
      </c>
      <c r="H10" s="126">
        <v>0.83950000000000002</v>
      </c>
      <c r="I10" s="127">
        <v>0.94630000000000003</v>
      </c>
      <c r="J10" s="127">
        <v>0.40329999999999999</v>
      </c>
      <c r="K10" s="127">
        <v>0.72499999999999998</v>
      </c>
      <c r="L10" s="125" t="s">
        <v>19</v>
      </c>
      <c r="M10" s="125" t="s">
        <v>20</v>
      </c>
      <c r="N10" s="125" t="s">
        <v>21</v>
      </c>
      <c r="O10" s="125" t="s">
        <v>22</v>
      </c>
      <c r="P10" s="128" t="s">
        <v>23</v>
      </c>
    </row>
    <row r="11" spans="1:16" x14ac:dyDescent="0.2">
      <c r="A11" s="129" t="s">
        <v>82</v>
      </c>
      <c r="B11" s="124" t="s">
        <v>32</v>
      </c>
      <c r="C11" s="130" t="s">
        <v>32</v>
      </c>
      <c r="D11" s="130" t="s">
        <v>8</v>
      </c>
      <c r="E11" s="131">
        <v>0.92369999999999997</v>
      </c>
      <c r="F11" s="131">
        <v>0.74909999999999999</v>
      </c>
      <c r="G11" s="131">
        <v>1</v>
      </c>
      <c r="H11" s="131">
        <v>0.85470000000000002</v>
      </c>
      <c r="I11" s="132">
        <v>0.92300000000000004</v>
      </c>
      <c r="J11" s="132">
        <v>0.59109999999999996</v>
      </c>
      <c r="K11" s="132">
        <v>0.7</v>
      </c>
      <c r="L11" s="130" t="s">
        <v>59</v>
      </c>
      <c r="M11" s="130" t="s">
        <v>60</v>
      </c>
      <c r="N11" s="130" t="s">
        <v>61</v>
      </c>
      <c r="O11" s="130" t="s">
        <v>62</v>
      </c>
      <c r="P11" s="133" t="s">
        <v>63</v>
      </c>
    </row>
    <row r="12" spans="1:16" x14ac:dyDescent="0.2">
      <c r="A12" s="123" t="s">
        <v>135</v>
      </c>
      <c r="B12" s="124" t="s">
        <v>32</v>
      </c>
      <c r="C12" s="125" t="s">
        <v>32</v>
      </c>
      <c r="D12" s="125" t="s">
        <v>18</v>
      </c>
      <c r="E12" s="126">
        <v>0.69589999999999996</v>
      </c>
      <c r="F12" s="126">
        <v>0.28370000000000001</v>
      </c>
      <c r="G12" s="126">
        <v>0.2228</v>
      </c>
      <c r="H12" s="126">
        <v>0.24610000000000001</v>
      </c>
      <c r="I12" s="127">
        <v>0.83109999999999995</v>
      </c>
      <c r="J12" s="127">
        <v>0.57840000000000003</v>
      </c>
      <c r="K12" s="127">
        <v>1</v>
      </c>
      <c r="L12" s="125" t="s">
        <v>123</v>
      </c>
      <c r="M12" s="125" t="s">
        <v>124</v>
      </c>
      <c r="N12" s="125" t="s">
        <v>125</v>
      </c>
      <c r="O12" s="125" t="s">
        <v>126</v>
      </c>
      <c r="P12" s="128" t="s">
        <v>127</v>
      </c>
    </row>
    <row r="13" spans="1:16" x14ac:dyDescent="0.2">
      <c r="A13" s="129" t="s">
        <v>160</v>
      </c>
      <c r="B13" s="124" t="s">
        <v>32</v>
      </c>
      <c r="C13" s="130" t="s">
        <v>32</v>
      </c>
      <c r="D13" s="130" t="s">
        <v>8</v>
      </c>
      <c r="E13" s="131">
        <v>0.8982</v>
      </c>
      <c r="F13" s="131">
        <v>0.70750000000000002</v>
      </c>
      <c r="G13" s="131">
        <v>0.94389999999999996</v>
      </c>
      <c r="H13" s="131">
        <v>0.80630000000000002</v>
      </c>
      <c r="I13" s="132">
        <v>0.9294</v>
      </c>
      <c r="J13" s="132">
        <v>0.55010000000000003</v>
      </c>
      <c r="K13" s="132">
        <v>0.67500000000000004</v>
      </c>
      <c r="L13" s="130" t="s">
        <v>136</v>
      </c>
      <c r="M13" s="130" t="s">
        <v>137</v>
      </c>
      <c r="N13" s="130" t="s">
        <v>138</v>
      </c>
      <c r="O13" s="130" t="s">
        <v>139</v>
      </c>
      <c r="P13" s="133" t="s">
        <v>140</v>
      </c>
    </row>
    <row r="14" spans="1:16" x14ac:dyDescent="0.2">
      <c r="A14" s="123" t="s">
        <v>31</v>
      </c>
      <c r="B14" s="124" t="s">
        <v>32</v>
      </c>
      <c r="C14" s="125" t="s">
        <v>203</v>
      </c>
      <c r="D14" s="125" t="s">
        <v>12</v>
      </c>
      <c r="E14" s="126">
        <v>0.84450000000000003</v>
      </c>
      <c r="F14" s="126">
        <v>0.9153</v>
      </c>
      <c r="G14" s="126">
        <v>0.78590000000000004</v>
      </c>
      <c r="H14" s="126">
        <v>0.84560000000000002</v>
      </c>
      <c r="I14" s="127">
        <v>0.89</v>
      </c>
      <c r="J14" s="124" t="s">
        <v>317</v>
      </c>
      <c r="K14" s="124" t="s">
        <v>317</v>
      </c>
      <c r="L14" s="125" t="s">
        <v>162</v>
      </c>
      <c r="M14" s="125" t="s">
        <v>163</v>
      </c>
      <c r="N14" s="125" t="s">
        <v>164</v>
      </c>
      <c r="O14" s="125" t="s">
        <v>165</v>
      </c>
      <c r="P14" s="128" t="s">
        <v>166</v>
      </c>
    </row>
    <row r="15" spans="1:16" x14ac:dyDescent="0.2">
      <c r="A15" s="129" t="s">
        <v>82</v>
      </c>
      <c r="B15" s="124" t="s">
        <v>32</v>
      </c>
      <c r="C15" s="130" t="s">
        <v>203</v>
      </c>
      <c r="D15" s="130" t="s">
        <v>8</v>
      </c>
      <c r="E15" s="131">
        <v>0.80459999999999998</v>
      </c>
      <c r="F15" s="131">
        <v>0.83399999999999996</v>
      </c>
      <c r="G15" s="131">
        <v>0.79869999999999997</v>
      </c>
      <c r="H15" s="131">
        <v>0.81589999999999996</v>
      </c>
      <c r="I15" s="132">
        <v>0.87780000000000002</v>
      </c>
      <c r="J15" s="124" t="s">
        <v>317</v>
      </c>
      <c r="K15" s="124" t="s">
        <v>317</v>
      </c>
      <c r="L15" s="130" t="s">
        <v>204</v>
      </c>
      <c r="M15" s="130" t="s">
        <v>205</v>
      </c>
      <c r="N15" s="130" t="s">
        <v>206</v>
      </c>
      <c r="O15" s="130" t="s">
        <v>207</v>
      </c>
      <c r="P15" s="133" t="s">
        <v>208</v>
      </c>
    </row>
    <row r="16" spans="1:16" x14ac:dyDescent="0.2">
      <c r="A16" s="123" t="s">
        <v>135</v>
      </c>
      <c r="B16" s="124" t="s">
        <v>32</v>
      </c>
      <c r="C16" s="125" t="s">
        <v>203</v>
      </c>
      <c r="D16" s="125" t="s">
        <v>18</v>
      </c>
      <c r="E16" s="126">
        <v>0.76880000000000004</v>
      </c>
      <c r="F16" s="126">
        <v>0.7571</v>
      </c>
      <c r="G16" s="126">
        <v>0.84379999999999999</v>
      </c>
      <c r="H16" s="126">
        <v>0.79800000000000004</v>
      </c>
      <c r="I16" s="127">
        <v>0.87270000000000003</v>
      </c>
      <c r="J16" s="124" t="s">
        <v>317</v>
      </c>
      <c r="K16" s="124" t="s">
        <v>317</v>
      </c>
      <c r="L16" s="125" t="s">
        <v>294</v>
      </c>
      <c r="M16" s="125" t="s">
        <v>295</v>
      </c>
      <c r="N16" s="125" t="s">
        <v>296</v>
      </c>
      <c r="O16" s="125" t="s">
        <v>297</v>
      </c>
      <c r="P16" s="128" t="s">
        <v>298</v>
      </c>
    </row>
    <row r="17" spans="1:16" x14ac:dyDescent="0.2">
      <c r="A17" s="134" t="s">
        <v>160</v>
      </c>
      <c r="B17" s="135" t="s">
        <v>32</v>
      </c>
      <c r="C17" s="136" t="s">
        <v>203</v>
      </c>
      <c r="D17" s="136" t="s">
        <v>8</v>
      </c>
      <c r="E17" s="137">
        <v>0.84189999999999998</v>
      </c>
      <c r="F17" s="137">
        <v>0.87450000000000006</v>
      </c>
      <c r="G17" s="137">
        <v>0.82530000000000003</v>
      </c>
      <c r="H17" s="137">
        <v>0.84909999999999997</v>
      </c>
      <c r="I17" s="138">
        <v>0.93310000000000004</v>
      </c>
      <c r="J17" s="135" t="s">
        <v>317</v>
      </c>
      <c r="K17" s="135" t="s">
        <v>317</v>
      </c>
      <c r="L17" s="136" t="s">
        <v>263</v>
      </c>
      <c r="M17" s="136" t="s">
        <v>264</v>
      </c>
      <c r="N17" s="136" t="s">
        <v>265</v>
      </c>
      <c r="O17" s="136" t="s">
        <v>266</v>
      </c>
      <c r="P17" s="139" t="s">
        <v>267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Bootstrapping All</vt:lpstr>
      <vt:lpstr>Sheet4</vt:lpstr>
      <vt:lpstr>Bootstrapping Condensed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Ebne Enayet (Deputy General Manager, Data Products, Data Science &amp; Engineering, Product &amp; Technology)</dc:creator>
  <cp:lastModifiedBy>Mohammad Ebne Enayet (Deputy General Manager, Data Pro</cp:lastModifiedBy>
  <dcterms:created xsi:type="dcterms:W3CDTF">2024-10-30T05:59:41Z</dcterms:created>
  <dcterms:modified xsi:type="dcterms:W3CDTF">2024-10-31T07:41:55Z</dcterms:modified>
</cp:coreProperties>
</file>